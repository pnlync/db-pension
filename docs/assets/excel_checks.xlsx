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" sheetId="1" state="visible" r:id="rId1"/>
    <sheet name="Inputs_IAS19" sheetId="2" state="visible" r:id="rId2"/>
    <sheet name="Inputs_S34" sheetId="3" state="visible" r:id="rId3"/>
    <sheet name="Inputs_Annuity" sheetId="4" state="visible" r:id="rId4"/>
    <sheet name="ILT" sheetId="5" state="visible" r:id="rId5"/>
    <sheet name="Revaluation" sheetId="6" state="visible" r:id="rId6"/>
    <sheet name="Curve_IAS19" sheetId="7" state="visible" r:id="rId7"/>
    <sheet name="Curve_Annuity" sheetId="8" state="visible" r:id="rId8"/>
    <sheet name="Pensioner" sheetId="9" state="visible" r:id="rId9"/>
    <sheet name="Deferred" sheetId="10" state="visible" r:id="rId10"/>
    <sheet name="Active" sheetId="11" state="visible" r:id="rId11"/>
    <sheet name="FS_Pensioner" sheetId="12" state="visible" r:id="rId12"/>
    <sheet name="FS_Deferred" sheetId="13" state="visible" r:id="rId13"/>
    <sheet name="FS_Activ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FF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member_id</t>
        </is>
      </c>
      <c r="C1" t="inlineStr">
        <is>
          <t>measure</t>
        </is>
      </c>
      <c r="D1" t="inlineStr">
        <is>
          <t>Python</t>
        </is>
      </c>
      <c r="E1" t="inlineStr">
        <is>
          <t>Excel (formulas)</t>
        </is>
      </c>
      <c r="F1" t="inlineStr">
        <is>
          <t>difference</t>
        </is>
      </c>
    </row>
    <row r="2">
      <c r="A2" t="inlineStr">
        <is>
          <t>Pensioner</t>
        </is>
      </c>
      <c r="B2" t="inlineStr">
        <is>
          <t>M0017</t>
        </is>
      </c>
      <c r="C2" t="inlineStr">
        <is>
          <t>PV at flat rate</t>
        </is>
      </c>
      <c r="D2" s="1" t="n">
        <v>277066.3901793119</v>
      </c>
      <c r="E2">
        <f>Pensioner!E3</f>
        <v/>
      </c>
      <c r="F2">
        <f>E2-D2</f>
        <v/>
      </c>
    </row>
    <row r="3">
      <c r="A3" t="inlineStr">
        <is>
          <t>Pensioner</t>
        </is>
      </c>
      <c r="B3" t="inlineStr">
        <is>
          <t>M0017</t>
        </is>
      </c>
      <c r="C3" t="inlineStr">
        <is>
          <t>IAS 19 PV (curve)</t>
        </is>
      </c>
      <c r="D3" s="1" t="n">
        <v>267691.6578997967</v>
      </c>
      <c r="E3">
        <f>Pensioner!E4</f>
        <v/>
      </c>
      <c r="F3">
        <f>E3-D3</f>
        <v/>
      </c>
    </row>
    <row r="4">
      <c r="A4" t="inlineStr">
        <is>
          <t>Deferred</t>
        </is>
      </c>
      <c r="B4" t="inlineStr">
        <is>
          <t>M0021</t>
        </is>
      </c>
      <c r="C4" t="inlineStr">
        <is>
          <t>PV at flat rate</t>
        </is>
      </c>
      <c r="D4" s="1" t="n">
        <v>63659.7178403492</v>
      </c>
      <c r="E4">
        <f>Deferred!E3</f>
        <v/>
      </c>
      <c r="F4">
        <f>E4-D4</f>
        <v/>
      </c>
    </row>
    <row r="5">
      <c r="A5" t="inlineStr">
        <is>
          <t>Deferred</t>
        </is>
      </c>
      <c r="B5" t="inlineStr">
        <is>
          <t>M0021</t>
        </is>
      </c>
      <c r="C5" t="inlineStr">
        <is>
          <t>IAS 19 PV (curve)</t>
        </is>
      </c>
      <c r="D5" s="1" t="n">
        <v>52122.8634345758</v>
      </c>
      <c r="E5">
        <f>Deferred!E4</f>
        <v/>
      </c>
      <c r="F5">
        <f>E5-D5</f>
        <v/>
      </c>
    </row>
    <row r="6">
      <c r="A6" t="inlineStr">
        <is>
          <t>Active</t>
        </is>
      </c>
      <c r="B6" t="inlineStr">
        <is>
          <t>M0013</t>
        </is>
      </c>
      <c r="C6" t="inlineStr">
        <is>
          <t>PV at flat rate</t>
        </is>
      </c>
      <c r="D6" s="1" t="n">
        <v>311786.1598988397</v>
      </c>
      <c r="E6">
        <f>Active!E3</f>
        <v/>
      </c>
      <c r="F6">
        <f>E6-D6</f>
        <v/>
      </c>
    </row>
    <row r="7">
      <c r="A7" t="inlineStr">
        <is>
          <t>Active</t>
        </is>
      </c>
      <c r="B7" t="inlineStr">
        <is>
          <t>M0013</t>
        </is>
      </c>
      <c r="C7" t="inlineStr">
        <is>
          <t>IAS 19 PV (curve)</t>
        </is>
      </c>
      <c r="D7" s="1" t="n">
        <v>243016.4765235869</v>
      </c>
      <c r="E7">
        <f>Active!E4</f>
        <v/>
      </c>
      <c r="F7">
        <f>E7-D7</f>
        <v/>
      </c>
    </row>
    <row r="8">
      <c r="A8" t="inlineStr">
        <is>
          <t>FS_Pensioner</t>
        </is>
      </c>
      <c r="B8" t="inlineStr">
        <is>
          <t>M0017</t>
        </is>
      </c>
      <c r="C8" t="inlineStr">
        <is>
          <t>FS annuity cost</t>
        </is>
      </c>
      <c r="D8" s="1" t="n">
        <v>293564.8549298958</v>
      </c>
      <c r="E8">
        <f>FS_Pensioner!E3</f>
        <v/>
      </c>
      <c r="F8">
        <f>E8-D8</f>
        <v/>
      </c>
    </row>
    <row r="9">
      <c r="A9" t="inlineStr">
        <is>
          <t>FS_Deferred</t>
        </is>
      </c>
      <c r="B9" t="inlineStr">
        <is>
          <t>M0021</t>
        </is>
      </c>
      <c r="C9" t="inlineStr">
        <is>
          <t>FS transfer value</t>
        </is>
      </c>
      <c r="D9" s="1" t="n">
        <v>43350.92735927718</v>
      </c>
      <c r="E9">
        <f>FS_Deferred!E6</f>
        <v/>
      </c>
      <c r="F9">
        <f>E9-D9</f>
        <v/>
      </c>
    </row>
    <row r="10">
      <c r="A10" t="inlineStr">
        <is>
          <t>FS_Active</t>
        </is>
      </c>
      <c r="B10" t="inlineStr">
        <is>
          <t>M0013</t>
        </is>
      </c>
      <c r="C10" t="inlineStr">
        <is>
          <t>FS transfer value</t>
        </is>
      </c>
      <c r="D10" s="1" t="n">
        <v>134567.7887842162</v>
      </c>
      <c r="E10">
        <f>FS_Active!E6</f>
        <v/>
      </c>
      <c r="F10">
        <f>E10-D10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input</t>
        </is>
      </c>
      <c r="C1" t="inlineStr">
        <is>
          <t>value</t>
        </is>
      </c>
    </row>
    <row r="2">
      <c r="A2" t="inlineStr">
        <is>
          <t>val_year</t>
        </is>
      </c>
      <c r="B2" t="inlineStr">
        <is>
          <t>Valuation year</t>
        </is>
      </c>
      <c r="C2" s="2" t="n">
        <v>2025</v>
      </c>
    </row>
    <row r="3">
      <c r="A3" t="inlineStr">
        <is>
          <t>pi</t>
        </is>
      </c>
      <c r="B3" t="inlineStr">
        <is>
          <t>Inflation</t>
        </is>
      </c>
      <c r="C3" s="2" t="n">
        <v>0.01867588932806319</v>
      </c>
    </row>
    <row r="4">
      <c r="A4" t="inlineStr">
        <is>
          <t>g</t>
        </is>
      </c>
      <c r="B4" t="inlineStr">
        <is>
          <t>Salary growth</t>
        </is>
      </c>
      <c r="C4" s="2" t="n">
        <v>0.02867588932806319</v>
      </c>
    </row>
    <row r="5">
      <c r="A5" t="inlineStr">
        <is>
          <t>r</t>
        </is>
      </c>
      <c r="B5" t="inlineStr">
        <is>
          <t>Deferred revaluation (future years)</t>
        </is>
      </c>
      <c r="C5" s="2" t="n">
        <v>0.01867588932806319</v>
      </c>
    </row>
    <row r="6">
      <c r="A6" t="inlineStr">
        <is>
          <t>e</t>
        </is>
      </c>
      <c r="B6" t="inlineStr">
        <is>
          <t>Pension increase (future years)</t>
        </is>
      </c>
      <c r="C6" s="2" t="n">
        <v>0.01867588932806319</v>
      </c>
    </row>
    <row r="7">
      <c r="A7" t="inlineStr">
        <is>
          <t>known_year</t>
        </is>
      </c>
      <c r="B7" t="inlineStr">
        <is>
          <t>Year of the known increase (0 = none)</t>
        </is>
      </c>
      <c r="C7" s="2" t="n">
        <v>2026</v>
      </c>
    </row>
    <row r="8">
      <c r="A8" t="inlineStr">
        <is>
          <t>known_inc</t>
        </is>
      </c>
      <c r="B8" t="inlineStr">
        <is>
          <t>Known increase that year</t>
        </is>
      </c>
      <c r="C8" s="2" t="n">
        <v>0.022</v>
      </c>
    </row>
    <row r="9">
      <c r="A9" t="inlineStr">
        <is>
          <t>spc1</t>
        </is>
      </c>
      <c r="B9" t="inlineStr">
        <is>
          <t>SPC in year 1 (annual)</t>
        </is>
      </c>
      <c r="C9" s="2" t="n">
        <v>15563.6</v>
      </c>
    </row>
    <row r="10">
      <c r="A10" t="inlineStr">
        <is>
          <t>offset</t>
        </is>
      </c>
      <c r="B10" t="inlineStr">
        <is>
          <t>SPC offset multiple</t>
        </is>
      </c>
      <c r="C10" s="2" t="n">
        <v>1.5</v>
      </c>
    </row>
    <row r="11">
      <c r="A11" t="inlineStr">
        <is>
          <t>accrual</t>
        </is>
      </c>
      <c r="B11" t="inlineStr">
        <is>
          <t>Accrual fraction (1/..)</t>
        </is>
      </c>
      <c r="C11" s="2" t="n">
        <v>60</v>
      </c>
    </row>
    <row r="12">
      <c r="A12" t="inlineStr">
        <is>
          <t>max_service</t>
        </is>
      </c>
      <c r="B12" t="inlineStr">
        <is>
          <t>Maximum service</t>
        </is>
      </c>
      <c r="C12" s="2" t="n">
        <v>40</v>
      </c>
    </row>
    <row r="13">
      <c r="A13" t="inlineStr">
        <is>
          <t>pre_M</t>
        </is>
      </c>
      <c r="B13" t="inlineStr">
        <is>
          <t>Mortality multiplier before 65, M</t>
        </is>
      </c>
      <c r="C13" s="2" t="n">
        <v>0.66</v>
      </c>
    </row>
    <row r="14">
      <c r="A14" t="inlineStr">
        <is>
          <t>pre_F</t>
        </is>
      </c>
      <c r="B14" t="inlineStr">
        <is>
          <t>Mortality multiplier before 65, F</t>
        </is>
      </c>
      <c r="C14" s="2" t="n">
        <v>0.75</v>
      </c>
    </row>
    <row r="15">
      <c r="A15" t="inlineStr">
        <is>
          <t>post_M</t>
        </is>
      </c>
      <c r="B15" t="inlineStr">
        <is>
          <t>Mortality multiplier from 65, M</t>
        </is>
      </c>
      <c r="C15" s="2" t="n">
        <v>0.66</v>
      </c>
    </row>
    <row r="16">
      <c r="A16" t="inlineStr">
        <is>
          <t>post_F</t>
        </is>
      </c>
      <c r="B16" t="inlineStr">
        <is>
          <t>Mortality multiplier from 65, F</t>
        </is>
      </c>
      <c r="C16" s="2" t="n">
        <v>0.75</v>
      </c>
    </row>
    <row r="17">
      <c r="A17" t="inlineStr">
        <is>
          <t>imp</t>
        </is>
      </c>
      <c r="B17" t="inlineStr">
        <is>
          <t>Mortality improvement</t>
        </is>
      </c>
      <c r="C17" s="2" t="n">
        <v>0.008999999999999999</v>
      </c>
    </row>
    <row r="18">
      <c r="A18" t="inlineStr">
        <is>
          <t>imp_base</t>
        </is>
      </c>
      <c r="B18" t="inlineStr">
        <is>
          <t>Improvement base year</t>
        </is>
      </c>
      <c r="C18" s="2" t="n">
        <v>2014</v>
      </c>
    </row>
    <row r="19">
      <c r="A19" t="inlineStr">
        <is>
          <t>w_on</t>
        </is>
      </c>
      <c r="B19" t="inlineStr">
        <is>
          <t>Withdrawal decrement on (1/0)</t>
        </is>
      </c>
      <c r="C19" s="2" t="n">
        <v>1</v>
      </c>
    </row>
    <row r="20">
      <c r="A20" t="inlineStr">
        <is>
          <t>w35</t>
        </is>
      </c>
      <c r="B20" t="inlineStr">
        <is>
          <t>Withdrawal rate at 35</t>
        </is>
      </c>
      <c r="C20" s="2" t="n">
        <v>0.04</v>
      </c>
    </row>
    <row r="21">
      <c r="A21" t="inlineStr">
        <is>
          <t>wslope</t>
        </is>
      </c>
      <c r="B21" t="inlineStr">
        <is>
          <t>Withdrawal slope per year</t>
        </is>
      </c>
      <c r="C21" s="2" t="n">
        <v>0.002</v>
      </c>
    </row>
    <row r="22">
      <c r="A22" t="inlineStr">
        <is>
          <t>wzero</t>
        </is>
      </c>
      <c r="B22" t="inlineStr">
        <is>
          <t>Withdrawal zero from age</t>
        </is>
      </c>
      <c r="C22" s="2" t="n">
        <v>55</v>
      </c>
    </row>
    <row r="23">
      <c r="A23" t="inlineStr">
        <is>
          <t>load_M</t>
        </is>
      </c>
      <c r="B23" t="inlineStr">
        <is>
          <t>Annuity value loading a year, M</t>
        </is>
      </c>
      <c r="C23" s="2" t="n">
        <v>0</v>
      </c>
    </row>
    <row r="24">
      <c r="A24" t="inlineStr">
        <is>
          <t>load_F</t>
        </is>
      </c>
      <c r="B24" t="inlineStr">
        <is>
          <t>Annuity value loading a year, F</t>
        </is>
      </c>
      <c r="C24" s="2" t="n">
        <v>0</v>
      </c>
    </row>
    <row r="25">
      <c r="A25" t="inlineStr">
        <is>
          <t>load_base</t>
        </is>
      </c>
      <c r="B25" t="inlineStr">
        <is>
          <t>Loading base year</t>
        </is>
      </c>
      <c r="C25" s="2" t="n">
        <v>2014</v>
      </c>
    </row>
    <row r="26">
      <c r="A26" t="inlineStr">
        <is>
          <t>flat</t>
        </is>
      </c>
      <c r="B26" t="inlineStr">
        <is>
          <t>Flat discount rate (engine check)</t>
        </is>
      </c>
      <c r="C26" s="2" t="n">
        <v>0.0375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input</t>
        </is>
      </c>
      <c r="C1" t="inlineStr">
        <is>
          <t>value</t>
        </is>
      </c>
    </row>
    <row r="2">
      <c r="A2" t="inlineStr">
        <is>
          <t>val_year</t>
        </is>
      </c>
      <c r="B2" t="inlineStr">
        <is>
          <t>Valuation year</t>
        </is>
      </c>
      <c r="C2" s="2" t="n">
        <v>2025</v>
      </c>
    </row>
    <row r="3">
      <c r="A3" t="inlineStr">
        <is>
          <t>pi</t>
        </is>
      </c>
      <c r="B3" t="inlineStr">
        <is>
          <t>Inflation</t>
        </is>
      </c>
      <c r="C3" s="2" t="n">
        <v>0.015</v>
      </c>
    </row>
    <row r="4">
      <c r="A4" t="inlineStr">
        <is>
          <t>g</t>
        </is>
      </c>
      <c r="B4" t="inlineStr">
        <is>
          <t>Salary growth</t>
        </is>
      </c>
      <c r="C4" s="2" t="n">
        <v>0</v>
      </c>
    </row>
    <row r="5">
      <c r="A5" t="inlineStr">
        <is>
          <t>r</t>
        </is>
      </c>
      <c r="B5" t="inlineStr">
        <is>
          <t>Deferred revaluation (future years)</t>
        </is>
      </c>
      <c r="C5" s="2" t="n">
        <v>0.015</v>
      </c>
    </row>
    <row r="6">
      <c r="A6" t="inlineStr">
        <is>
          <t>e</t>
        </is>
      </c>
      <c r="B6" t="inlineStr">
        <is>
          <t>Pension increase (future years)</t>
        </is>
      </c>
      <c r="C6" s="2" t="n">
        <v>0.015</v>
      </c>
    </row>
    <row r="7">
      <c r="A7" t="inlineStr">
        <is>
          <t>known_year</t>
        </is>
      </c>
      <c r="B7" t="inlineStr">
        <is>
          <t>Year of the known increase (0 = none)</t>
        </is>
      </c>
      <c r="C7" s="2" t="n">
        <v>0</v>
      </c>
    </row>
    <row r="8">
      <c r="A8" t="inlineStr">
        <is>
          <t>known_inc</t>
        </is>
      </c>
      <c r="B8" t="inlineStr">
        <is>
          <t>Known increase that year</t>
        </is>
      </c>
      <c r="C8" s="2" t="n">
        <v>0</v>
      </c>
    </row>
    <row r="9">
      <c r="A9" t="inlineStr">
        <is>
          <t>spc1</t>
        </is>
      </c>
      <c r="B9" t="inlineStr">
        <is>
          <t>SPC in year 1 (annual)</t>
        </is>
      </c>
      <c r="C9" s="2" t="n">
        <v>15563.6</v>
      </c>
    </row>
    <row r="10">
      <c r="A10" t="inlineStr">
        <is>
          <t>offset</t>
        </is>
      </c>
      <c r="B10" t="inlineStr">
        <is>
          <t>SPC offset multiple</t>
        </is>
      </c>
      <c r="C10" s="2" t="n">
        <v>1.5</v>
      </c>
    </row>
    <row r="11">
      <c r="A11" t="inlineStr">
        <is>
          <t>accrual</t>
        </is>
      </c>
      <c r="B11" t="inlineStr">
        <is>
          <t>Accrual fraction (1/..)</t>
        </is>
      </c>
      <c r="C11" s="2" t="n">
        <v>60</v>
      </c>
    </row>
    <row r="12">
      <c r="A12" t="inlineStr">
        <is>
          <t>max_service</t>
        </is>
      </c>
      <c r="B12" t="inlineStr">
        <is>
          <t>Maximum service</t>
        </is>
      </c>
      <c r="C12" s="2" t="n">
        <v>40</v>
      </c>
    </row>
    <row r="13">
      <c r="A13" t="inlineStr">
        <is>
          <t>pre_M</t>
        </is>
      </c>
      <c r="B13" t="inlineStr">
        <is>
          <t>Mortality multiplier before 65, M</t>
        </is>
      </c>
      <c r="C13" s="2" t="n">
        <v>0.73</v>
      </c>
    </row>
    <row r="14">
      <c r="A14" t="inlineStr">
        <is>
          <t>pre_F</t>
        </is>
      </c>
      <c r="B14" t="inlineStr">
        <is>
          <t>Mortality multiplier before 65, F</t>
        </is>
      </c>
      <c r="C14" s="2" t="n">
        <v>0.77</v>
      </c>
    </row>
    <row r="15">
      <c r="A15" t="inlineStr">
        <is>
          <t>post_M</t>
        </is>
      </c>
      <c r="B15" t="inlineStr">
        <is>
          <t>Mortality multiplier from 65, M</t>
        </is>
      </c>
      <c r="C15" s="2" t="n">
        <v>0.58</v>
      </c>
    </row>
    <row r="16">
      <c r="A16" t="inlineStr">
        <is>
          <t>post_F</t>
        </is>
      </c>
      <c r="B16" t="inlineStr">
        <is>
          <t>Mortality multiplier from 65, F</t>
        </is>
      </c>
      <c r="C16" s="2" t="n">
        <v>0.62</v>
      </c>
    </row>
    <row r="17">
      <c r="A17" t="inlineStr">
        <is>
          <t>imp</t>
        </is>
      </c>
      <c r="B17" t="inlineStr">
        <is>
          <t>Mortality improvement</t>
        </is>
      </c>
      <c r="C17" s="2" t="n">
        <v>0</v>
      </c>
    </row>
    <row r="18">
      <c r="A18" t="inlineStr">
        <is>
          <t>imp_base</t>
        </is>
      </c>
      <c r="B18" t="inlineStr">
        <is>
          <t>Improvement base year</t>
        </is>
      </c>
      <c r="C18" s="2" t="n">
        <v>2014</v>
      </c>
    </row>
    <row r="19">
      <c r="A19" t="inlineStr">
        <is>
          <t>w_on</t>
        </is>
      </c>
      <c r="B19" t="inlineStr">
        <is>
          <t>Withdrawal decrement on (1/0)</t>
        </is>
      </c>
      <c r="C19" s="2" t="n">
        <v>0</v>
      </c>
    </row>
    <row r="20">
      <c r="A20" t="inlineStr">
        <is>
          <t>w35</t>
        </is>
      </c>
      <c r="B20" t="inlineStr">
        <is>
          <t>Withdrawal rate at 35</t>
        </is>
      </c>
      <c r="C20" s="2" t="n">
        <v>0.04</v>
      </c>
    </row>
    <row r="21">
      <c r="A21" t="inlineStr">
        <is>
          <t>wslope</t>
        </is>
      </c>
      <c r="B21" t="inlineStr">
        <is>
          <t>Withdrawal slope per year</t>
        </is>
      </c>
      <c r="C21" s="2" t="n">
        <v>0.002</v>
      </c>
    </row>
    <row r="22">
      <c r="A22" t="inlineStr">
        <is>
          <t>wzero</t>
        </is>
      </c>
      <c r="B22" t="inlineStr">
        <is>
          <t>Withdrawal zero from age</t>
        </is>
      </c>
      <c r="C22" s="2" t="n">
        <v>55</v>
      </c>
    </row>
    <row r="23">
      <c r="A23" t="inlineStr">
        <is>
          <t>load_M</t>
        </is>
      </c>
      <c r="B23" t="inlineStr">
        <is>
          <t>Annuity value loading a year, M</t>
        </is>
      </c>
      <c r="C23" s="2" t="n">
        <v>0.0036</v>
      </c>
    </row>
    <row r="24">
      <c r="A24" t="inlineStr">
        <is>
          <t>load_F</t>
        </is>
      </c>
      <c r="B24" t="inlineStr">
        <is>
          <t>Annuity value loading a year, F</t>
        </is>
      </c>
      <c r="C24" s="2" t="n">
        <v>0.003</v>
      </c>
    </row>
    <row r="25">
      <c r="A25" t="inlineStr">
        <is>
          <t>load_base</t>
        </is>
      </c>
      <c r="B25" t="inlineStr">
        <is>
          <t>Loading base year</t>
        </is>
      </c>
      <c r="C25" s="2" t="n">
        <v>2014</v>
      </c>
    </row>
    <row r="26">
      <c r="A26" t="inlineStr">
        <is>
          <t>d_pre</t>
        </is>
      </c>
      <c r="B26" t="inlineStr">
        <is>
          <t>Discount rate before 65</t>
        </is>
      </c>
      <c r="C26" s="2" t="n">
        <v>0.06</v>
      </c>
    </row>
    <row r="27">
      <c r="A27" t="inlineStr">
        <is>
          <t>d_post</t>
        </is>
      </c>
      <c r="B27" t="inlineStr">
        <is>
          <t>Discount rate after 65</t>
        </is>
      </c>
      <c r="C27" s="2" t="n">
        <v>0.0425</v>
      </c>
    </row>
    <row r="28">
      <c r="A28" t="inlineStr">
        <is>
          <t>window</t>
        </is>
      </c>
      <c r="B28" t="inlineStr">
        <is>
          <t>MVA window (years)</t>
        </is>
      </c>
      <c r="C28" s="2" t="n">
        <v>10</v>
      </c>
    </row>
    <row r="29">
      <c r="A29" t="inlineStr">
        <is>
          <t>t_div</t>
        </is>
      </c>
      <c r="B29" t="inlineStr">
        <is>
          <t>Pre-retirement MVA divisor</t>
        </is>
      </c>
      <c r="C29" s="2" t="n">
        <v>20</v>
      </c>
    </row>
    <row r="30">
      <c r="A30" t="inlineStr">
        <is>
          <t>mva_npa</t>
        </is>
      </c>
      <c r="B30" t="inlineStr">
        <is>
          <t>MVA at NPA, index-linked (Nov 2025)</t>
        </is>
      </c>
      <c r="C30" s="2" t="n">
        <v>1.237003607066763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input</t>
        </is>
      </c>
      <c r="C1" t="inlineStr">
        <is>
          <t>value</t>
        </is>
      </c>
    </row>
    <row r="2">
      <c r="A2" t="inlineStr">
        <is>
          <t>val_year</t>
        </is>
      </c>
      <c r="B2" t="inlineStr">
        <is>
          <t>Valuation year</t>
        </is>
      </c>
      <c r="C2" s="2" t="n">
        <v>2025</v>
      </c>
    </row>
    <row r="3">
      <c r="A3" t="inlineStr">
        <is>
          <t>pi</t>
        </is>
      </c>
      <c r="B3" t="inlineStr">
        <is>
          <t>Inflation</t>
        </is>
      </c>
      <c r="C3" s="2" t="n">
        <v>0.019</v>
      </c>
    </row>
    <row r="4">
      <c r="A4" t="inlineStr">
        <is>
          <t>g</t>
        </is>
      </c>
      <c r="B4" t="inlineStr">
        <is>
          <t>Salary growth</t>
        </is>
      </c>
      <c r="C4" s="2" t="n">
        <v>0</v>
      </c>
    </row>
    <row r="5">
      <c r="A5" t="inlineStr">
        <is>
          <t>r</t>
        </is>
      </c>
      <c r="B5" t="inlineStr">
        <is>
          <t>Deferred revaluation (future years)</t>
        </is>
      </c>
      <c r="C5" s="2" t="n">
        <v>0</v>
      </c>
    </row>
    <row r="6">
      <c r="A6" t="inlineStr">
        <is>
          <t>e</t>
        </is>
      </c>
      <c r="B6" t="inlineStr">
        <is>
          <t>Pension increase (future years)</t>
        </is>
      </c>
      <c r="C6" s="2" t="n">
        <v>0.0178</v>
      </c>
    </row>
    <row r="7">
      <c r="A7" t="inlineStr">
        <is>
          <t>known_year</t>
        </is>
      </c>
      <c r="B7" t="inlineStr">
        <is>
          <t>Year of the known increase (0 = none)</t>
        </is>
      </c>
      <c r="C7" s="2" t="n">
        <v>2026</v>
      </c>
    </row>
    <row r="8">
      <c r="A8" t="inlineStr">
        <is>
          <t>known_inc</t>
        </is>
      </c>
      <c r="B8" t="inlineStr">
        <is>
          <t>Known increase that year</t>
        </is>
      </c>
      <c r="C8" s="2" t="n">
        <v>0.022</v>
      </c>
    </row>
    <row r="9">
      <c r="A9" t="inlineStr">
        <is>
          <t>spc1</t>
        </is>
      </c>
      <c r="B9" t="inlineStr">
        <is>
          <t>SPC in year 1 (annual)</t>
        </is>
      </c>
      <c r="C9" s="2" t="n">
        <v>15563.6</v>
      </c>
    </row>
    <row r="10">
      <c r="A10" t="inlineStr">
        <is>
          <t>offset</t>
        </is>
      </c>
      <c r="B10" t="inlineStr">
        <is>
          <t>SPC offset multiple</t>
        </is>
      </c>
      <c r="C10" s="2" t="n">
        <v>1.5</v>
      </c>
    </row>
    <row r="11">
      <c r="A11" t="inlineStr">
        <is>
          <t>accrual</t>
        </is>
      </c>
      <c r="B11" t="inlineStr">
        <is>
          <t>Accrual fraction (1/..)</t>
        </is>
      </c>
      <c r="C11" s="2" t="n">
        <v>60</v>
      </c>
    </row>
    <row r="12">
      <c r="A12" t="inlineStr">
        <is>
          <t>max_service</t>
        </is>
      </c>
      <c r="B12" t="inlineStr">
        <is>
          <t>Maximum service</t>
        </is>
      </c>
      <c r="C12" s="2" t="n">
        <v>40</v>
      </c>
    </row>
    <row r="13">
      <c r="A13" t="inlineStr">
        <is>
          <t>pre_M</t>
        </is>
      </c>
      <c r="B13" t="inlineStr">
        <is>
          <t>Mortality multiplier before 65, M</t>
        </is>
      </c>
      <c r="C13" s="2" t="n">
        <v>0.62</v>
      </c>
    </row>
    <row r="14">
      <c r="A14" t="inlineStr">
        <is>
          <t>pre_F</t>
        </is>
      </c>
      <c r="B14" t="inlineStr">
        <is>
          <t>Mortality multiplier before 65, F</t>
        </is>
      </c>
      <c r="C14" s="2" t="n">
        <v>0.7</v>
      </c>
    </row>
    <row r="15">
      <c r="A15" t="inlineStr">
        <is>
          <t>post_M</t>
        </is>
      </c>
      <c r="B15" t="inlineStr">
        <is>
          <t>Mortality multiplier from 65, M</t>
        </is>
      </c>
      <c r="C15" s="2" t="n">
        <v>0.62</v>
      </c>
    </row>
    <row r="16">
      <c r="A16" t="inlineStr">
        <is>
          <t>post_F</t>
        </is>
      </c>
      <c r="B16" t="inlineStr">
        <is>
          <t>Mortality multiplier from 65, F</t>
        </is>
      </c>
      <c r="C16" s="2" t="n">
        <v>0.7</v>
      </c>
    </row>
    <row r="17">
      <c r="A17" t="inlineStr">
        <is>
          <t>imp</t>
        </is>
      </c>
      <c r="B17" t="inlineStr">
        <is>
          <t>Mortality improvement</t>
        </is>
      </c>
      <c r="C17" s="2" t="n">
        <v>0.012</v>
      </c>
    </row>
    <row r="18">
      <c r="A18" t="inlineStr">
        <is>
          <t>imp_base</t>
        </is>
      </c>
      <c r="B18" t="inlineStr">
        <is>
          <t>Improvement base year</t>
        </is>
      </c>
      <c r="C18" s="2" t="n">
        <v>2014</v>
      </c>
    </row>
    <row r="19">
      <c r="A19" t="inlineStr">
        <is>
          <t>w_on</t>
        </is>
      </c>
      <c r="B19" t="inlineStr">
        <is>
          <t>Withdrawal decrement on (1/0)</t>
        </is>
      </c>
      <c r="C19" s="2" t="n">
        <v>0</v>
      </c>
    </row>
    <row r="20">
      <c r="A20" t="inlineStr">
        <is>
          <t>w35</t>
        </is>
      </c>
      <c r="B20" t="inlineStr">
        <is>
          <t>Withdrawal rate at 35</t>
        </is>
      </c>
      <c r="C20" s="2" t="n">
        <v>0.04</v>
      </c>
    </row>
    <row r="21">
      <c r="A21" t="inlineStr">
        <is>
          <t>wslope</t>
        </is>
      </c>
      <c r="B21" t="inlineStr">
        <is>
          <t>Withdrawal slope per year</t>
        </is>
      </c>
      <c r="C21" s="2" t="n">
        <v>0.002</v>
      </c>
    </row>
    <row r="22">
      <c r="A22" t="inlineStr">
        <is>
          <t>wzero</t>
        </is>
      </c>
      <c r="B22" t="inlineStr">
        <is>
          <t>Withdrawal zero from age</t>
        </is>
      </c>
      <c r="C22" s="2" t="n">
        <v>55</v>
      </c>
    </row>
    <row r="23">
      <c r="A23" t="inlineStr">
        <is>
          <t>load_M</t>
        </is>
      </c>
      <c r="B23" t="inlineStr">
        <is>
          <t>Annuity value loading a year, M</t>
        </is>
      </c>
      <c r="C23" s="2" t="n">
        <v>0</v>
      </c>
    </row>
    <row r="24">
      <c r="A24" t="inlineStr">
        <is>
          <t>load_F</t>
        </is>
      </c>
      <c r="B24" t="inlineStr">
        <is>
          <t>Annuity value loading a year, F</t>
        </is>
      </c>
      <c r="C24" s="2" t="n">
        <v>0</v>
      </c>
    </row>
    <row r="25">
      <c r="A25" t="inlineStr">
        <is>
          <t>load_base</t>
        </is>
      </c>
      <c r="B25" t="inlineStr">
        <is>
          <t>Loading base year</t>
        </is>
      </c>
      <c r="C25" s="2" t="n">
        <v>2014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q_M (ILT15, extended to 120)</t>
        </is>
      </c>
      <c r="C1" t="inlineStr">
        <is>
          <t>q_F</t>
        </is>
      </c>
    </row>
    <row r="2">
      <c r="A2" t="n">
        <v>0</v>
      </c>
      <c r="B2" t="n">
        <v>0.00404</v>
      </c>
      <c r="C2" t="n">
        <v>0.00358</v>
      </c>
    </row>
    <row r="3">
      <c r="A3" t="n">
        <v>1</v>
      </c>
      <c r="B3" t="n">
        <v>0.00029</v>
      </c>
      <c r="C3" t="n">
        <v>0.00039</v>
      </c>
    </row>
    <row r="4">
      <c r="A4" t="n">
        <v>2</v>
      </c>
      <c r="B4" t="n">
        <v>0.00026</v>
      </c>
      <c r="C4" t="n">
        <v>0.00021</v>
      </c>
    </row>
    <row r="5">
      <c r="A5" t="n">
        <v>3</v>
      </c>
      <c r="B5" t="n">
        <v>0.00014</v>
      </c>
      <c r="C5" t="n">
        <v>0.00017</v>
      </c>
    </row>
    <row r="6">
      <c r="A6" t="n">
        <v>4</v>
      </c>
      <c r="B6" t="n">
        <v>0.00016</v>
      </c>
      <c r="C6" t="n">
        <v>0.00013</v>
      </c>
    </row>
    <row r="7">
      <c r="A7" t="n">
        <v>5</v>
      </c>
      <c r="B7" t="n">
        <v>0.00011</v>
      </c>
      <c r="C7" t="n">
        <v>6.999999999999999e-05</v>
      </c>
    </row>
    <row r="8">
      <c r="A8" t="n">
        <v>6</v>
      </c>
      <c r="B8" t="n">
        <v>8.000000000000001e-05</v>
      </c>
      <c r="C8" t="n">
        <v>6.999999999999999e-05</v>
      </c>
    </row>
    <row r="9">
      <c r="A9" t="n">
        <v>7</v>
      </c>
      <c r="B9" t="n">
        <v>0.00015</v>
      </c>
      <c r="C9" t="n">
        <v>6.999999999999999e-05</v>
      </c>
    </row>
    <row r="10">
      <c r="A10" t="n">
        <v>8</v>
      </c>
      <c r="B10" t="n">
        <v>0.00012</v>
      </c>
      <c r="C10" t="n">
        <v>6.999999999999999e-05</v>
      </c>
    </row>
    <row r="11">
      <c r="A11" t="n">
        <v>9</v>
      </c>
      <c r="B11" t="n">
        <v>0.0001</v>
      </c>
      <c r="C11" t="n">
        <v>8.000000000000001e-05</v>
      </c>
    </row>
    <row r="12">
      <c r="A12" t="n">
        <v>10</v>
      </c>
      <c r="B12" t="n">
        <v>8.000000000000001e-05</v>
      </c>
      <c r="C12" t="n">
        <v>9.000000000000001e-05</v>
      </c>
    </row>
    <row r="13">
      <c r="A13" t="n">
        <v>11</v>
      </c>
      <c r="B13" t="n">
        <v>8.000000000000001e-05</v>
      </c>
      <c r="C13" t="n">
        <v>0.00011</v>
      </c>
    </row>
    <row r="14">
      <c r="A14" t="n">
        <v>12</v>
      </c>
      <c r="B14" t="n">
        <v>0.00012</v>
      </c>
      <c r="C14" t="n">
        <v>0.00014</v>
      </c>
    </row>
    <row r="15">
      <c r="A15" t="n">
        <v>13</v>
      </c>
      <c r="B15" t="n">
        <v>0.0002</v>
      </c>
      <c r="C15" t="n">
        <v>0.00017</v>
      </c>
    </row>
    <row r="16">
      <c r="A16" t="n">
        <v>14</v>
      </c>
      <c r="B16" t="n">
        <v>0.00033</v>
      </c>
      <c r="C16" t="n">
        <v>0.00022</v>
      </c>
    </row>
    <row r="17">
      <c r="A17" t="n">
        <v>15</v>
      </c>
      <c r="B17" t="n">
        <v>0.00047</v>
      </c>
      <c r="C17" t="n">
        <v>0.00027</v>
      </c>
    </row>
    <row r="18">
      <c r="A18" t="n">
        <v>16</v>
      </c>
      <c r="B18" t="n">
        <v>0.00062</v>
      </c>
      <c r="C18" t="n">
        <v>0.00032</v>
      </c>
    </row>
    <row r="19">
      <c r="A19" t="n">
        <v>17</v>
      </c>
      <c r="B19" t="n">
        <v>0.00074</v>
      </c>
      <c r="C19" t="n">
        <v>0.00035</v>
      </c>
    </row>
    <row r="20">
      <c r="A20" t="n">
        <v>18</v>
      </c>
      <c r="B20" t="n">
        <v>0.00084</v>
      </c>
      <c r="C20" t="n">
        <v>0.00035</v>
      </c>
    </row>
    <row r="21">
      <c r="A21" t="n">
        <v>19</v>
      </c>
      <c r="B21" t="n">
        <v>0.00094</v>
      </c>
      <c r="C21" t="n">
        <v>0.00034</v>
      </c>
    </row>
    <row r="22">
      <c r="A22" t="n">
        <v>20</v>
      </c>
      <c r="B22" t="n">
        <v>0.00103</v>
      </c>
      <c r="C22" t="n">
        <v>0.00033</v>
      </c>
    </row>
    <row r="23">
      <c r="A23" t="n">
        <v>21</v>
      </c>
      <c r="B23" t="n">
        <v>0.00109</v>
      </c>
      <c r="C23" t="n">
        <v>0.00031</v>
      </c>
    </row>
    <row r="24">
      <c r="A24" t="n">
        <v>22</v>
      </c>
      <c r="B24" t="n">
        <v>0.00113</v>
      </c>
      <c r="C24" t="n">
        <v>0.0003</v>
      </c>
    </row>
    <row r="25">
      <c r="A25" t="n">
        <v>23</v>
      </c>
      <c r="B25" t="n">
        <v>0.00112</v>
      </c>
      <c r="C25" t="n">
        <v>0.0003</v>
      </c>
    </row>
    <row r="26">
      <c r="A26" t="n">
        <v>24</v>
      </c>
      <c r="B26" t="n">
        <v>0.00107</v>
      </c>
      <c r="C26" t="n">
        <v>0.00031</v>
      </c>
    </row>
    <row r="27">
      <c r="A27" t="n">
        <v>25</v>
      </c>
      <c r="B27" t="n">
        <v>0.00101</v>
      </c>
      <c r="C27" t="n">
        <v>0.00031</v>
      </c>
    </row>
    <row r="28">
      <c r="A28" t="n">
        <v>26</v>
      </c>
      <c r="B28" t="n">
        <v>0.00095</v>
      </c>
      <c r="C28" t="n">
        <v>0.00032</v>
      </c>
    </row>
    <row r="29">
      <c r="A29" t="n">
        <v>27</v>
      </c>
      <c r="B29" t="n">
        <v>0.00092</v>
      </c>
      <c r="C29" t="n">
        <v>0.00033</v>
      </c>
    </row>
    <row r="30">
      <c r="A30" t="n">
        <v>28</v>
      </c>
      <c r="B30" t="n">
        <v>0.00092</v>
      </c>
      <c r="C30" t="n">
        <v>0.00034</v>
      </c>
    </row>
    <row r="31">
      <c r="A31" t="n">
        <v>29</v>
      </c>
      <c r="B31" t="n">
        <v>0.00094</v>
      </c>
      <c r="C31" t="n">
        <v>0.00035</v>
      </c>
    </row>
    <row r="32">
      <c r="A32" t="n">
        <v>30</v>
      </c>
      <c r="B32" t="n">
        <v>0.0009700000000000001</v>
      </c>
      <c r="C32" t="n">
        <v>0.00036</v>
      </c>
    </row>
    <row r="33">
      <c r="A33" t="n">
        <v>31</v>
      </c>
      <c r="B33" t="n">
        <v>0.00101</v>
      </c>
      <c r="C33" t="n">
        <v>0.00038</v>
      </c>
    </row>
    <row r="34">
      <c r="A34" t="n">
        <v>32</v>
      </c>
      <c r="B34" t="n">
        <v>0.00104</v>
      </c>
      <c r="C34" t="n">
        <v>0.0004</v>
      </c>
    </row>
    <row r="35">
      <c r="A35" t="n">
        <v>33</v>
      </c>
      <c r="B35" t="n">
        <v>0.00105</v>
      </c>
      <c r="C35" t="n">
        <v>0.00043</v>
      </c>
    </row>
    <row r="36">
      <c r="A36" t="n">
        <v>34</v>
      </c>
      <c r="B36" t="n">
        <v>0.00105</v>
      </c>
      <c r="C36" t="n">
        <v>0.00046</v>
      </c>
    </row>
    <row r="37">
      <c r="A37" t="n">
        <v>35</v>
      </c>
      <c r="B37" t="n">
        <v>0.00105</v>
      </c>
      <c r="C37" t="n">
        <v>0.00049</v>
      </c>
    </row>
    <row r="38">
      <c r="A38" t="n">
        <v>36</v>
      </c>
      <c r="B38" t="n">
        <v>0.00107</v>
      </c>
      <c r="C38" t="n">
        <v>0.00054</v>
      </c>
    </row>
    <row r="39">
      <c r="A39" t="n">
        <v>37</v>
      </c>
      <c r="B39" t="n">
        <v>0.00112</v>
      </c>
      <c r="C39" t="n">
        <v>0.00059</v>
      </c>
    </row>
    <row r="40">
      <c r="A40" t="n">
        <v>38</v>
      </c>
      <c r="B40" t="n">
        <v>0.00121</v>
      </c>
      <c r="C40" t="n">
        <v>0.00065</v>
      </c>
    </row>
    <row r="41">
      <c r="A41" t="n">
        <v>39</v>
      </c>
      <c r="B41" t="n">
        <v>0.00131</v>
      </c>
      <c r="C41" t="n">
        <v>0.00072</v>
      </c>
    </row>
    <row r="42">
      <c r="A42" t="n">
        <v>40</v>
      </c>
      <c r="B42" t="n">
        <v>0.00144</v>
      </c>
      <c r="C42" t="n">
        <v>0.0008</v>
      </c>
    </row>
    <row r="43">
      <c r="A43" t="n">
        <v>41</v>
      </c>
      <c r="B43" t="n">
        <v>0.00158</v>
      </c>
      <c r="C43" t="n">
        <v>0.0008899999999999999</v>
      </c>
    </row>
    <row r="44">
      <c r="A44" t="n">
        <v>42</v>
      </c>
      <c r="B44" t="n">
        <v>0.00173</v>
      </c>
      <c r="C44" t="n">
        <v>0.00101</v>
      </c>
    </row>
    <row r="45">
      <c r="A45" t="n">
        <v>43</v>
      </c>
      <c r="B45" t="n">
        <v>0.00188</v>
      </c>
      <c r="C45" t="n">
        <v>0.00115</v>
      </c>
    </row>
    <row r="46">
      <c r="A46" t="n">
        <v>44</v>
      </c>
      <c r="B46" t="n">
        <v>0.00204</v>
      </c>
      <c r="C46" t="n">
        <v>0.00132</v>
      </c>
    </row>
    <row r="47">
      <c r="A47" t="n">
        <v>45</v>
      </c>
      <c r="B47" t="n">
        <v>0.00222</v>
      </c>
      <c r="C47" t="n">
        <v>0.0015</v>
      </c>
    </row>
    <row r="48">
      <c r="A48" t="n">
        <v>46</v>
      </c>
      <c r="B48" t="n">
        <v>0.00242</v>
      </c>
      <c r="C48" t="n">
        <v>0.00169</v>
      </c>
    </row>
    <row r="49">
      <c r="A49" t="n">
        <v>47</v>
      </c>
      <c r="B49" t="n">
        <v>0.00265</v>
      </c>
      <c r="C49" t="n">
        <v>0.00187</v>
      </c>
    </row>
    <row r="50">
      <c r="A50" t="n">
        <v>48</v>
      </c>
      <c r="B50" t="n">
        <v>0.00291</v>
      </c>
      <c r="C50" t="n">
        <v>0.00202</v>
      </c>
    </row>
    <row r="51">
      <c r="A51" t="n">
        <v>49</v>
      </c>
      <c r="B51" t="n">
        <v>0.0032</v>
      </c>
      <c r="C51" t="n">
        <v>0.00217</v>
      </c>
    </row>
    <row r="52">
      <c r="A52" t="n">
        <v>50</v>
      </c>
      <c r="B52" t="n">
        <v>0.00351</v>
      </c>
      <c r="C52" t="n">
        <v>0.00232</v>
      </c>
    </row>
    <row r="53">
      <c r="A53" t="n">
        <v>51</v>
      </c>
      <c r="B53" t="n">
        <v>0.00386</v>
      </c>
      <c r="C53" t="n">
        <v>0.00249</v>
      </c>
    </row>
    <row r="54">
      <c r="A54" t="n">
        <v>52</v>
      </c>
      <c r="B54" t="n">
        <v>0.00424</v>
      </c>
      <c r="C54" t="n">
        <v>0.00271</v>
      </c>
    </row>
    <row r="55">
      <c r="A55" t="n">
        <v>53</v>
      </c>
      <c r="B55" t="n">
        <v>0.00463</v>
      </c>
      <c r="C55" t="n">
        <v>0.00295</v>
      </c>
    </row>
    <row r="56">
      <c r="A56" t="n">
        <v>54</v>
      </c>
      <c r="B56" t="n">
        <v>0.00505</v>
      </c>
      <c r="C56" t="n">
        <v>0.00323</v>
      </c>
    </row>
    <row r="57">
      <c r="A57" t="n">
        <v>55</v>
      </c>
      <c r="B57" t="n">
        <v>0.00551</v>
      </c>
      <c r="C57" t="n">
        <v>0.00353</v>
      </c>
    </row>
    <row r="58">
      <c r="A58" t="n">
        <v>56</v>
      </c>
      <c r="B58" t="n">
        <v>0.00603</v>
      </c>
      <c r="C58" t="n">
        <v>0.00388</v>
      </c>
    </row>
    <row r="59">
      <c r="A59" t="n">
        <v>57</v>
      </c>
      <c r="B59" t="n">
        <v>0.00665</v>
      </c>
      <c r="C59" t="n">
        <v>0.00426</v>
      </c>
    </row>
    <row r="60">
      <c r="A60" t="n">
        <v>58</v>
      </c>
      <c r="B60" t="n">
        <v>0.00736</v>
      </c>
      <c r="C60" t="n">
        <v>0.00468</v>
      </c>
    </row>
    <row r="61">
      <c r="A61" t="n">
        <v>59</v>
      </c>
      <c r="B61" t="n">
        <v>0.008149999999999999</v>
      </c>
      <c r="C61" t="n">
        <v>0.00514</v>
      </c>
    </row>
    <row r="62">
      <c r="A62" t="n">
        <v>60</v>
      </c>
      <c r="B62" t="n">
        <v>0.00902</v>
      </c>
      <c r="C62" t="n">
        <v>0.00564</v>
      </c>
    </row>
    <row r="63">
      <c r="A63" t="n">
        <v>61</v>
      </c>
      <c r="B63" t="n">
        <v>0.009990000000000001</v>
      </c>
      <c r="C63" t="n">
        <v>0.0062</v>
      </c>
    </row>
    <row r="64">
      <c r="A64" t="n">
        <v>62</v>
      </c>
      <c r="B64" t="n">
        <v>0.01107</v>
      </c>
      <c r="C64" t="n">
        <v>0.00681</v>
      </c>
    </row>
    <row r="65">
      <c r="A65" t="n">
        <v>63</v>
      </c>
      <c r="B65" t="n">
        <v>0.01222</v>
      </c>
      <c r="C65" t="n">
        <v>0.00745</v>
      </c>
    </row>
    <row r="66">
      <c r="A66" t="n">
        <v>64</v>
      </c>
      <c r="B66" t="n">
        <v>0.01343</v>
      </c>
      <c r="C66" t="n">
        <v>0.00812</v>
      </c>
    </row>
    <row r="67">
      <c r="A67" t="n">
        <v>65</v>
      </c>
      <c r="B67" t="n">
        <v>0.01478</v>
      </c>
      <c r="C67" t="n">
        <v>0.008869999999999999</v>
      </c>
    </row>
    <row r="68">
      <c r="A68" t="n">
        <v>66</v>
      </c>
      <c r="B68" t="n">
        <v>0.01633</v>
      </c>
      <c r="C68" t="n">
        <v>0.009730000000000001</v>
      </c>
    </row>
    <row r="69">
      <c r="A69" t="n">
        <v>67</v>
      </c>
      <c r="B69" t="n">
        <v>0.01815</v>
      </c>
      <c r="C69" t="n">
        <v>0.01078</v>
      </c>
    </row>
    <row r="70">
      <c r="A70" t="n">
        <v>68</v>
      </c>
      <c r="B70" t="n">
        <v>0.02023</v>
      </c>
      <c r="C70" t="n">
        <v>0.01201</v>
      </c>
    </row>
    <row r="71">
      <c r="A71" t="n">
        <v>69</v>
      </c>
      <c r="B71" t="n">
        <v>0.02254</v>
      </c>
      <c r="C71" t="n">
        <v>0.01338</v>
      </c>
    </row>
    <row r="72">
      <c r="A72" t="n">
        <v>70</v>
      </c>
      <c r="B72" t="n">
        <v>0.02513</v>
      </c>
      <c r="C72" t="n">
        <v>0.01492</v>
      </c>
    </row>
    <row r="73">
      <c r="A73" t="n">
        <v>71</v>
      </c>
      <c r="B73" t="n">
        <v>0.02804</v>
      </c>
      <c r="C73" t="n">
        <v>0.01665</v>
      </c>
    </row>
    <row r="74">
      <c r="A74" t="n">
        <v>72</v>
      </c>
      <c r="B74" t="n">
        <v>0.03133</v>
      </c>
      <c r="C74" t="n">
        <v>0.01859</v>
      </c>
    </row>
    <row r="75">
      <c r="A75" t="n">
        <v>73</v>
      </c>
      <c r="B75" t="n">
        <v>0.035</v>
      </c>
      <c r="C75" t="n">
        <v>0.02061</v>
      </c>
    </row>
    <row r="76">
      <c r="A76" t="n">
        <v>74</v>
      </c>
      <c r="B76" t="n">
        <v>0.03903</v>
      </c>
      <c r="C76" t="n">
        <v>0.0227</v>
      </c>
    </row>
    <row r="77">
      <c r="A77" t="n">
        <v>75</v>
      </c>
      <c r="B77" t="n">
        <v>0.04352</v>
      </c>
      <c r="C77" t="n">
        <v>0.02509</v>
      </c>
    </row>
    <row r="78">
      <c r="A78" t="n">
        <v>76</v>
      </c>
      <c r="B78" t="n">
        <v>0.04857</v>
      </c>
      <c r="C78" t="n">
        <v>0.02802</v>
      </c>
    </row>
    <row r="79">
      <c r="A79" t="n">
        <v>77</v>
      </c>
      <c r="B79" t="n">
        <v>0.05429</v>
      </c>
      <c r="C79" t="n">
        <v>0.03178</v>
      </c>
    </row>
    <row r="80">
      <c r="A80" t="n">
        <v>78</v>
      </c>
      <c r="B80" t="n">
        <v>0.06085</v>
      </c>
      <c r="C80" t="n">
        <v>0.03655</v>
      </c>
    </row>
    <row r="81">
      <c r="A81" t="n">
        <v>79</v>
      </c>
      <c r="B81" t="n">
        <v>0.06831</v>
      </c>
      <c r="C81" t="n">
        <v>0.04228</v>
      </c>
    </row>
    <row r="82">
      <c r="A82" t="n">
        <v>80</v>
      </c>
      <c r="B82" t="n">
        <v>0.07656</v>
      </c>
      <c r="C82" t="n">
        <v>0.04885</v>
      </c>
    </row>
    <row r="83">
      <c r="A83" t="n">
        <v>81</v>
      </c>
      <c r="B83" t="n">
        <v>0.08550000000000001</v>
      </c>
      <c r="C83" t="n">
        <v>0.05613</v>
      </c>
    </row>
    <row r="84">
      <c r="A84" t="n">
        <v>82</v>
      </c>
      <c r="B84" t="n">
        <v>0.09496</v>
      </c>
      <c r="C84" t="n">
        <v>0.06395000000000001</v>
      </c>
    </row>
    <row r="85">
      <c r="A85" t="n">
        <v>83</v>
      </c>
      <c r="B85" t="n">
        <v>0.10508</v>
      </c>
      <c r="C85" t="n">
        <v>0.07249</v>
      </c>
    </row>
    <row r="86">
      <c r="A86" t="n">
        <v>84</v>
      </c>
      <c r="B86" t="n">
        <v>0.11605</v>
      </c>
      <c r="C86" t="n">
        <v>0.08198</v>
      </c>
    </row>
    <row r="87">
      <c r="A87" t="n">
        <v>85</v>
      </c>
      <c r="B87" t="n">
        <v>0.12783</v>
      </c>
      <c r="C87" t="n">
        <v>0.09233</v>
      </c>
    </row>
    <row r="88">
      <c r="A88" t="n">
        <v>86</v>
      </c>
      <c r="B88" t="n">
        <v>0.1403</v>
      </c>
      <c r="C88" t="n">
        <v>0.10343</v>
      </c>
    </row>
    <row r="89">
      <c r="A89" t="n">
        <v>87</v>
      </c>
      <c r="B89" t="n">
        <v>0.15335</v>
      </c>
      <c r="C89" t="n">
        <v>0.11512</v>
      </c>
    </row>
    <row r="90">
      <c r="A90" t="n">
        <v>88</v>
      </c>
      <c r="B90" t="n">
        <v>0.16715</v>
      </c>
      <c r="C90" t="n">
        <v>0.12763</v>
      </c>
    </row>
    <row r="91">
      <c r="A91" t="n">
        <v>89</v>
      </c>
      <c r="B91" t="n">
        <v>0.18167</v>
      </c>
      <c r="C91" t="n">
        <v>0.1409</v>
      </c>
    </row>
    <row r="92">
      <c r="A92" t="n">
        <v>90</v>
      </c>
      <c r="B92" t="n">
        <v>0.19689</v>
      </c>
      <c r="C92" t="n">
        <v>0.15493</v>
      </c>
    </row>
    <row r="93">
      <c r="A93" t="n">
        <v>91</v>
      </c>
      <c r="B93" t="n">
        <v>0.21282</v>
      </c>
      <c r="C93" t="n">
        <v>0.16972</v>
      </c>
    </row>
    <row r="94">
      <c r="A94" t="n">
        <v>92</v>
      </c>
      <c r="B94" t="n">
        <v>0.22946</v>
      </c>
      <c r="C94" t="n">
        <v>0.18527</v>
      </c>
    </row>
    <row r="95">
      <c r="A95" t="n">
        <v>93</v>
      </c>
      <c r="B95" t="n">
        <v>0.2468</v>
      </c>
      <c r="C95" t="n">
        <v>0.20158</v>
      </c>
    </row>
    <row r="96">
      <c r="A96" t="n">
        <v>94</v>
      </c>
      <c r="B96" t="n">
        <v>0.26486</v>
      </c>
      <c r="C96" t="n">
        <v>0.21865</v>
      </c>
    </row>
    <row r="97">
      <c r="A97" t="n">
        <v>95</v>
      </c>
      <c r="B97" t="n">
        <v>0.28363</v>
      </c>
      <c r="C97" t="n">
        <v>0.23648</v>
      </c>
    </row>
    <row r="98">
      <c r="A98" t="n">
        <v>96</v>
      </c>
      <c r="B98" t="n">
        <v>0.3031</v>
      </c>
      <c r="C98" t="n">
        <v>0.25507</v>
      </c>
    </row>
    <row r="99">
      <c r="A99" t="n">
        <v>97</v>
      </c>
      <c r="B99" t="n">
        <v>0.32328</v>
      </c>
      <c r="C99" t="n">
        <v>0.27441</v>
      </c>
    </row>
    <row r="100">
      <c r="A100" t="n">
        <v>98</v>
      </c>
      <c r="B100" t="n">
        <v>0.34417</v>
      </c>
      <c r="C100" t="n">
        <v>0.29452</v>
      </c>
    </row>
    <row r="101">
      <c r="A101" t="n">
        <v>99</v>
      </c>
      <c r="B101" t="n">
        <v>0.36577</v>
      </c>
      <c r="C101" t="n">
        <v>0.31539</v>
      </c>
    </row>
    <row r="102">
      <c r="A102" t="n">
        <v>100</v>
      </c>
      <c r="B102" t="n">
        <v>0.38808</v>
      </c>
      <c r="C102" t="n">
        <v>0.33702</v>
      </c>
    </row>
    <row r="103">
      <c r="A103" t="n">
        <v>101</v>
      </c>
      <c r="B103" t="n">
        <v>0.4111</v>
      </c>
      <c r="C103" t="n">
        <v>0.3594</v>
      </c>
    </row>
    <row r="104">
      <c r="A104" t="n">
        <v>102</v>
      </c>
      <c r="B104" t="n">
        <v>0.43483</v>
      </c>
      <c r="C104" t="n">
        <v>0.38255</v>
      </c>
    </row>
    <row r="105">
      <c r="A105" t="n">
        <v>103</v>
      </c>
      <c r="B105" t="n">
        <v>0.45926</v>
      </c>
      <c r="C105" t="n">
        <v>0.40645</v>
      </c>
    </row>
    <row r="106">
      <c r="A106" t="n">
        <v>104</v>
      </c>
      <c r="B106" t="n">
        <v>0.48441</v>
      </c>
      <c r="C106" t="n">
        <v>0.43112</v>
      </c>
    </row>
    <row r="107">
      <c r="A107" t="n">
        <v>105</v>
      </c>
      <c r="B107" t="n">
        <v>0.51026</v>
      </c>
      <c r="C107" t="n">
        <v>0.45654</v>
      </c>
    </row>
    <row r="108">
      <c r="A108" t="n">
        <v>106</v>
      </c>
      <c r="B108" t="n">
        <v>0.5411223359181664</v>
      </c>
      <c r="C108" t="n">
        <v>0.4875815641803586</v>
      </c>
    </row>
    <row r="109">
      <c r="A109" t="n">
        <v>107</v>
      </c>
      <c r="B109" t="n">
        <v>0.5738513354555185</v>
      </c>
      <c r="C109" t="n">
        <v>0.5207337401510604</v>
      </c>
    </row>
    <row r="110">
      <c r="A110" t="n">
        <v>108</v>
      </c>
      <c r="B110" t="n">
        <v>0.6085599010532854</v>
      </c>
      <c r="C110" t="n">
        <v>0.5561400349243055</v>
      </c>
    </row>
    <row r="111">
      <c r="A111" t="n">
        <v>109</v>
      </c>
      <c r="B111" t="n">
        <v>0.645367763893078</v>
      </c>
      <c r="C111" t="n">
        <v>0.5939537129971353</v>
      </c>
    </row>
    <row r="112">
      <c r="A112" t="n">
        <v>110</v>
      </c>
      <c r="B112" t="n">
        <v>0.6844018969233451</v>
      </c>
      <c r="C112" t="n">
        <v>0.6343384597929537</v>
      </c>
    </row>
    <row r="113">
      <c r="A113" t="n">
        <v>111</v>
      </c>
      <c r="B113" t="n">
        <v>0.7257969528671354</v>
      </c>
      <c r="C113" t="n">
        <v>0.6774690902124848</v>
      </c>
    </row>
    <row r="114">
      <c r="A114" t="n">
        <v>112</v>
      </c>
      <c r="B114" t="n">
        <v>0.7696957287221252</v>
      </c>
      <c r="C114" t="n">
        <v>0.7235323053612998</v>
      </c>
    </row>
    <row r="115">
      <c r="A115" t="n">
        <v>113</v>
      </c>
      <c r="B115" t="n">
        <v>0.8162496583552535</v>
      </c>
      <c r="C115" t="n">
        <v>0.7727275007295821</v>
      </c>
    </row>
    <row r="116">
      <c r="A116" t="n">
        <v>114</v>
      </c>
      <c r="B116" t="n">
        <v>0.8656193348912319</v>
      </c>
      <c r="C116" t="n">
        <v>0.8252676293225322</v>
      </c>
    </row>
    <row r="117">
      <c r="A117" t="n">
        <v>115</v>
      </c>
      <c r="B117" t="n">
        <v>0.9179750646969642</v>
      </c>
      <c r="C117" t="n">
        <v>0.8813801234776725</v>
      </c>
    </row>
    <row r="118">
      <c r="A118" t="n">
        <v>116</v>
      </c>
      <c r="B118" t="n">
        <v>0.9734974548729102</v>
      </c>
      <c r="C118" t="n">
        <v>0.9413078793593577</v>
      </c>
    </row>
    <row r="119">
      <c r="A119" t="n">
        <v>117</v>
      </c>
      <c r="B119" t="n">
        <v>1</v>
      </c>
      <c r="C119" t="n">
        <v>1</v>
      </c>
    </row>
    <row r="120">
      <c r="A120" t="n">
        <v>118</v>
      </c>
      <c r="B120" t="n">
        <v>1</v>
      </c>
      <c r="C120" t="n">
        <v>1</v>
      </c>
    </row>
    <row r="121">
      <c r="A121" t="n">
        <v>119</v>
      </c>
      <c r="B121" t="n">
        <v>1</v>
      </c>
      <c r="C121" t="n">
        <v>1</v>
      </c>
    </row>
    <row r="122">
      <c r="A122" t="n">
        <v>120</v>
      </c>
      <c r="B122" t="n">
        <v>1</v>
      </c>
      <c r="C1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revaluation year</t>
        </is>
      </c>
      <c r="B1" t="inlineStr">
        <is>
          <t>official %</t>
        </is>
      </c>
    </row>
    <row r="2">
      <c r="A2" t="n">
        <v>1996</v>
      </c>
      <c r="B2" t="n">
        <v>1.6</v>
      </c>
    </row>
    <row r="3">
      <c r="A3" t="n">
        <v>1997</v>
      </c>
      <c r="B3" t="n">
        <v>1.5</v>
      </c>
    </row>
    <row r="4">
      <c r="A4" t="n">
        <v>1998</v>
      </c>
      <c r="B4" t="n">
        <v>2.4</v>
      </c>
    </row>
    <row r="5">
      <c r="A5" t="n">
        <v>1999</v>
      </c>
      <c r="B5" t="n">
        <v>1.6</v>
      </c>
    </row>
    <row r="6">
      <c r="A6" t="n">
        <v>2000</v>
      </c>
      <c r="B6" t="n">
        <v>4</v>
      </c>
    </row>
    <row r="7">
      <c r="A7" t="n">
        <v>2001</v>
      </c>
      <c r="B7" t="n">
        <v>4</v>
      </c>
    </row>
    <row r="8">
      <c r="A8" t="n">
        <v>2002</v>
      </c>
      <c r="B8" t="n">
        <v>4</v>
      </c>
    </row>
    <row r="9">
      <c r="A9" t="n">
        <v>2003</v>
      </c>
      <c r="B9" t="n">
        <v>3.5</v>
      </c>
    </row>
    <row r="10">
      <c r="A10" t="n">
        <v>2004</v>
      </c>
      <c r="B10" t="n">
        <v>2.2</v>
      </c>
    </row>
    <row r="11">
      <c r="A11" t="n">
        <v>2005</v>
      </c>
      <c r="B11" t="n">
        <v>2.5</v>
      </c>
    </row>
    <row r="12">
      <c r="A12" t="n">
        <v>2006</v>
      </c>
      <c r="B12" t="n">
        <v>4</v>
      </c>
    </row>
    <row r="13">
      <c r="A13" t="n">
        <v>2007</v>
      </c>
      <c r="B13" t="n">
        <v>4</v>
      </c>
    </row>
    <row r="14">
      <c r="A14" t="n">
        <v>2008</v>
      </c>
      <c r="B14" t="n">
        <v>4</v>
      </c>
    </row>
    <row r="15">
      <c r="A15" t="n">
        <v>2009</v>
      </c>
      <c r="B15" t="n">
        <v>0</v>
      </c>
    </row>
    <row r="16">
      <c r="A16" t="n">
        <v>2010</v>
      </c>
      <c r="B16" t="n">
        <v>0</v>
      </c>
    </row>
    <row r="17">
      <c r="A17" t="n">
        <v>2011</v>
      </c>
      <c r="B17" t="n">
        <v>2.6</v>
      </c>
    </row>
    <row r="18">
      <c r="A18" t="n">
        <v>2012</v>
      </c>
      <c r="B18" t="n">
        <v>1.7</v>
      </c>
    </row>
    <row r="19">
      <c r="A19" t="n">
        <v>2013</v>
      </c>
      <c r="B19" t="n">
        <v>0.5</v>
      </c>
    </row>
    <row r="20">
      <c r="A20" t="n">
        <v>2014</v>
      </c>
      <c r="B20" t="n">
        <v>0.2</v>
      </c>
    </row>
    <row r="21">
      <c r="A21" t="n">
        <v>2015</v>
      </c>
      <c r="B21" t="n">
        <v>-0.3</v>
      </c>
    </row>
    <row r="22">
      <c r="A22" t="n">
        <v>2016</v>
      </c>
      <c r="B22" t="n">
        <v>0</v>
      </c>
    </row>
    <row r="23">
      <c r="A23" t="n">
        <v>2017</v>
      </c>
      <c r="B23" t="n">
        <v>0.4</v>
      </c>
    </row>
    <row r="24">
      <c r="A24" t="n">
        <v>2018</v>
      </c>
      <c r="B24" t="n">
        <v>0.5</v>
      </c>
    </row>
    <row r="25">
      <c r="A25" t="n">
        <v>2019</v>
      </c>
      <c r="B25" t="n">
        <v>0.9</v>
      </c>
    </row>
    <row r="26">
      <c r="A26" t="n">
        <v>2020</v>
      </c>
      <c r="B26" t="n">
        <v>-0.3</v>
      </c>
    </row>
    <row r="27">
      <c r="A27" t="n">
        <v>2021</v>
      </c>
      <c r="B27" t="n">
        <v>2.4</v>
      </c>
    </row>
    <row r="28">
      <c r="A28" t="n">
        <v>2022</v>
      </c>
      <c r="B28" t="n">
        <v>4</v>
      </c>
    </row>
    <row r="29">
      <c r="A29" t="n">
        <v>2023</v>
      </c>
      <c r="B29" t="n">
        <v>4</v>
      </c>
    </row>
    <row r="30">
      <c r="A30" t="n">
        <v>2024</v>
      </c>
      <c r="B30" t="n">
        <v>2.1</v>
      </c>
    </row>
    <row r="31">
      <c r="A31" t="n">
        <v>2025</v>
      </c>
      <c r="B31" t="n">
        <v>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payment time</t>
        </is>
      </c>
      <c r="C1" t="inlineStr">
        <is>
          <t>AAA spot (annual) at payment time</t>
        </is>
      </c>
      <c r="D1" t="inlineStr">
        <is>
          <t>discount factor (AAA + spread)</t>
        </is>
      </c>
      <c r="F1" t="inlineStr">
        <is>
          <t>spread</t>
        </is>
      </c>
      <c r="G1" s="2" t="n">
        <v>0.01</v>
      </c>
    </row>
    <row r="2">
      <c r="A2" t="n">
        <v>1</v>
      </c>
      <c r="B2" t="n">
        <v>0.5</v>
      </c>
      <c r="C2" s="2" t="n">
        <v>0.020129285</v>
      </c>
      <c r="D2">
        <f>(1+C2+$G$1)^-B2</f>
        <v/>
      </c>
      <c r="F2" t="inlineStr">
        <is>
          <t>AAA spot 29y</t>
        </is>
      </c>
      <c r="G2" s="2" t="n">
        <v>0.0354761704</v>
      </c>
    </row>
    <row r="3">
      <c r="A3" t="n">
        <v>2</v>
      </c>
      <c r="B3" t="n">
        <v>1.5</v>
      </c>
      <c r="C3" s="2" t="n">
        <v>0.0208430289</v>
      </c>
      <c r="D3">
        <f>(1+C3+$G$1)^-B3</f>
        <v/>
      </c>
      <c r="F3" t="inlineStr">
        <is>
          <t>AAA spot 30y</t>
        </is>
      </c>
      <c r="G3" s="2" t="n">
        <v>0.0353983976</v>
      </c>
    </row>
    <row r="4">
      <c r="A4" t="n">
        <v>3</v>
      </c>
      <c r="B4" t="n">
        <v>2.5</v>
      </c>
      <c r="C4" s="2" t="n">
        <v>0.0218220998</v>
      </c>
      <c r="D4">
        <f>(1+C4+$G$1)^-B4</f>
        <v/>
      </c>
      <c r="F4" t="inlineStr">
        <is>
          <t>DF 29y</t>
        </is>
      </c>
      <c r="G4">
        <f>(1+G2+G1)^-29</f>
        <v/>
      </c>
    </row>
    <row r="5">
      <c r="A5" t="n">
        <v>4</v>
      </c>
      <c r="B5" t="n">
        <v>3.5</v>
      </c>
      <c r="C5" s="2" t="n">
        <v>0.0229411859</v>
      </c>
      <c r="D5">
        <f>(1+C5+$G$1)^-B5</f>
        <v/>
      </c>
      <c r="F5" t="inlineStr">
        <is>
          <t>DF 30y</t>
        </is>
      </c>
      <c r="G5">
        <f>(1+G3+G1)^-30</f>
        <v/>
      </c>
    </row>
    <row r="6">
      <c r="A6" t="n">
        <v>5</v>
      </c>
      <c r="B6" t="n">
        <v>4.5</v>
      </c>
      <c r="C6" s="2" t="n">
        <v>0.0241166891</v>
      </c>
      <c r="D6">
        <f>(1+C6+$G$1)^-B6</f>
        <v/>
      </c>
      <c r="F6" t="inlineStr">
        <is>
          <t>forward 29-30y</t>
        </is>
      </c>
      <c r="G6">
        <f>G4/G5-1</f>
        <v/>
      </c>
    </row>
    <row r="7">
      <c r="A7" t="n">
        <v>6</v>
      </c>
      <c r="B7" t="n">
        <v>5.5</v>
      </c>
      <c r="C7" s="2" t="n">
        <v>0.0252935373</v>
      </c>
      <c r="D7">
        <f>(1+C7+$G$1)^-B7</f>
        <v/>
      </c>
    </row>
    <row r="8">
      <c r="A8" t="n">
        <v>7</v>
      </c>
      <c r="B8" t="n">
        <v>6.5</v>
      </c>
      <c r="C8" s="2" t="n">
        <v>0.0264361712</v>
      </c>
      <c r="D8">
        <f>(1+C8+$G$1)^-B8</f>
        <v/>
      </c>
    </row>
    <row r="9">
      <c r="A9" t="n">
        <v>8</v>
      </c>
      <c r="B9" t="n">
        <v>7.5</v>
      </c>
      <c r="C9" s="2" t="n">
        <v>0.0275223644</v>
      </c>
      <c r="D9">
        <f>(1+C9+$G$1)^-B9</f>
        <v/>
      </c>
    </row>
    <row r="10">
      <c r="A10" t="n">
        <v>9</v>
      </c>
      <c r="B10" t="n">
        <v>8.5</v>
      </c>
      <c r="C10" s="2" t="n">
        <v>0.0285389757</v>
      </c>
      <c r="D10">
        <f>(1+C10+$G$1)^-B10</f>
        <v/>
      </c>
    </row>
    <row r="11">
      <c r="A11" t="n">
        <v>10</v>
      </c>
      <c r="B11" t="n">
        <v>9.5</v>
      </c>
      <c r="C11" s="2" t="n">
        <v>0.0294790271</v>
      </c>
      <c r="D11">
        <f>(1+C11+$G$1)^-B11</f>
        <v/>
      </c>
    </row>
    <row r="12">
      <c r="A12" t="n">
        <v>11</v>
      </c>
      <c r="B12" t="n">
        <v>10.5</v>
      </c>
      <c r="C12" s="2" t="n">
        <v>0.0303396888</v>
      </c>
      <c r="D12">
        <f>(1+C12+$G$1)^-B12</f>
        <v/>
      </c>
    </row>
    <row r="13">
      <c r="A13" t="n">
        <v>12</v>
      </c>
      <c r="B13" t="n">
        <v>11.5</v>
      </c>
      <c r="C13" s="2" t="n">
        <v>0.0311208921</v>
      </c>
      <c r="D13">
        <f>(1+C13+$G$1)^-B13</f>
        <v/>
      </c>
    </row>
    <row r="14">
      <c r="A14" t="n">
        <v>13</v>
      </c>
      <c r="B14" t="n">
        <v>12.5</v>
      </c>
      <c r="C14" s="2" t="n">
        <v>0.0318243729</v>
      </c>
      <c r="D14">
        <f>(1+C14+$G$1)^-B14</f>
        <v/>
      </c>
    </row>
    <row r="15">
      <c r="A15" t="n">
        <v>14</v>
      </c>
      <c r="B15" t="n">
        <v>13.5</v>
      </c>
      <c r="C15" s="2" t="n">
        <v>0.0324530136</v>
      </c>
      <c r="D15">
        <f>(1+C15+$G$1)^-B15</f>
        <v/>
      </c>
    </row>
    <row r="16">
      <c r="A16" t="n">
        <v>15</v>
      </c>
      <c r="B16" t="n">
        <v>14.5</v>
      </c>
      <c r="C16" s="2" t="n">
        <v>0.033010391</v>
      </c>
      <c r="D16">
        <f>(1+C16+$G$1)^-B16</f>
        <v/>
      </c>
    </row>
    <row r="17">
      <c r="A17" t="n">
        <v>16</v>
      </c>
      <c r="B17" t="n">
        <v>15.5</v>
      </c>
      <c r="C17" s="2" t="n">
        <v>0.0335004673</v>
      </c>
      <c r="D17">
        <f>(1+C17+$G$1)^-B17</f>
        <v/>
      </c>
    </row>
    <row r="18">
      <c r="A18" t="n">
        <v>17</v>
      </c>
      <c r="B18" t="n">
        <v>16.5</v>
      </c>
      <c r="C18" s="2" t="n">
        <v>0.0339273799</v>
      </c>
      <c r="D18">
        <f>(1+C18+$G$1)^-B18</f>
        <v/>
      </c>
    </row>
    <row r="19">
      <c r="A19" t="n">
        <v>18</v>
      </c>
      <c r="B19" t="n">
        <v>17.5</v>
      </c>
      <c r="C19" s="2" t="n">
        <v>0.034295299</v>
      </c>
      <c r="D19">
        <f>(1+C19+$G$1)^-B19</f>
        <v/>
      </c>
    </row>
    <row r="20">
      <c r="A20" t="n">
        <v>19</v>
      </c>
      <c r="B20" t="n">
        <v>18.5</v>
      </c>
      <c r="C20" s="2" t="n">
        <v>0.0346083341</v>
      </c>
      <c r="D20">
        <f>(1+C20+$G$1)^-B20</f>
        <v/>
      </c>
    </row>
    <row r="21">
      <c r="A21" t="n">
        <v>20</v>
      </c>
      <c r="B21" t="n">
        <v>19.5</v>
      </c>
      <c r="C21" s="2" t="n">
        <v>0.0348704723</v>
      </c>
      <c r="D21">
        <f>(1+C21+$G$1)^-B21</f>
        <v/>
      </c>
    </row>
    <row r="22">
      <c r="A22" t="n">
        <v>21</v>
      </c>
      <c r="B22" t="n">
        <v>20.5</v>
      </c>
      <c r="C22" s="2" t="n">
        <v>0.0350855403</v>
      </c>
      <c r="D22">
        <f>(1+C22+$G$1)^-B22</f>
        <v/>
      </c>
    </row>
    <row r="23">
      <c r="A23" t="n">
        <v>22</v>
      </c>
      <c r="B23" t="n">
        <v>21.5</v>
      </c>
      <c r="C23" s="2" t="n">
        <v>0.0352571813</v>
      </c>
      <c r="D23">
        <f>(1+C23+$G$1)^-B23</f>
        <v/>
      </c>
    </row>
    <row r="24">
      <c r="A24" t="n">
        <v>23</v>
      </c>
      <c r="B24" t="n">
        <v>22.5</v>
      </c>
      <c r="C24" s="2" t="n">
        <v>0.0353888438</v>
      </c>
      <c r="D24">
        <f>(1+C24+$G$1)^-B24</f>
        <v/>
      </c>
    </row>
    <row r="25">
      <c r="A25" t="n">
        <v>24</v>
      </c>
      <c r="B25" t="n">
        <v>23.5</v>
      </c>
      <c r="C25" s="2" t="n">
        <v>0.0354837769</v>
      </c>
      <c r="D25">
        <f>(1+C25+$G$1)^-B25</f>
        <v/>
      </c>
    </row>
    <row r="26">
      <c r="A26" t="n">
        <v>25</v>
      </c>
      <c r="B26" t="n">
        <v>24.5</v>
      </c>
      <c r="C26" s="2" t="n">
        <v>0.0355450313</v>
      </c>
      <c r="D26">
        <f>(1+C26+$G$1)^-B26</f>
        <v/>
      </c>
    </row>
    <row r="27">
      <c r="A27" t="n">
        <v>26</v>
      </c>
      <c r="B27" t="n">
        <v>25.5</v>
      </c>
      <c r="C27" s="2" t="n">
        <v>0.0355754634</v>
      </c>
      <c r="D27">
        <f>(1+C27+$G$1)^-B27</f>
        <v/>
      </c>
    </row>
    <row r="28">
      <c r="A28" t="n">
        <v>27</v>
      </c>
      <c r="B28" t="n">
        <v>26.5</v>
      </c>
      <c r="C28" s="2" t="n">
        <v>0.0355777416</v>
      </c>
      <c r="D28">
        <f>(1+C28+$G$1)^-B28</f>
        <v/>
      </c>
    </row>
    <row r="29">
      <c r="A29" t="n">
        <v>28</v>
      </c>
      <c r="B29" t="n">
        <v>27.5</v>
      </c>
      <c r="C29" s="2" t="n">
        <v>0.0355543537</v>
      </c>
      <c r="D29">
        <f>(1+C29+$G$1)^-B29</f>
        <v/>
      </c>
    </row>
    <row r="30">
      <c r="A30" t="n">
        <v>29</v>
      </c>
      <c r="B30" t="n">
        <v>28.5</v>
      </c>
      <c r="C30" s="2" t="n">
        <v>0.0355076163</v>
      </c>
      <c r="D30">
        <f>(1+C30+$G$1)^-B30</f>
        <v/>
      </c>
    </row>
    <row r="31">
      <c r="A31" t="n">
        <v>30</v>
      </c>
      <c r="B31" t="n">
        <v>29.5</v>
      </c>
      <c r="C31" s="2" t="n">
        <v>0.0354396825</v>
      </c>
      <c r="D31">
        <f>(1+C31+$G$1)^-B31</f>
        <v/>
      </c>
    </row>
    <row r="32">
      <c r="A32" t="n">
        <v>31</v>
      </c>
      <c r="B32" t="n">
        <v>30.5</v>
      </c>
      <c r="D32">
        <f>$G$5*(1+$G$6)^-(B32-30)</f>
        <v/>
      </c>
    </row>
    <row r="33">
      <c r="A33" t="n">
        <v>32</v>
      </c>
      <c r="B33" t="n">
        <v>31.5</v>
      </c>
      <c r="D33">
        <f>$G$5*(1+$G$6)^-(B33-30)</f>
        <v/>
      </c>
    </row>
    <row r="34">
      <c r="A34" t="n">
        <v>33</v>
      </c>
      <c r="B34" t="n">
        <v>32.5</v>
      </c>
      <c r="D34">
        <f>$G$5*(1+$G$6)^-(B34-30)</f>
        <v/>
      </c>
    </row>
    <row r="35">
      <c r="A35" t="n">
        <v>34</v>
      </c>
      <c r="B35" t="n">
        <v>33.5</v>
      </c>
      <c r="D35">
        <f>$G$5*(1+$G$6)^-(B35-30)</f>
        <v/>
      </c>
    </row>
    <row r="36">
      <c r="A36" t="n">
        <v>35</v>
      </c>
      <c r="B36" t="n">
        <v>34.5</v>
      </c>
      <c r="D36">
        <f>$G$5*(1+$G$6)^-(B36-30)</f>
        <v/>
      </c>
    </row>
    <row r="37">
      <c r="A37" t="n">
        <v>36</v>
      </c>
      <c r="B37" t="n">
        <v>35.5</v>
      </c>
      <c r="D37">
        <f>$G$5*(1+$G$6)^-(B37-30)</f>
        <v/>
      </c>
    </row>
    <row r="38">
      <c r="A38" t="n">
        <v>37</v>
      </c>
      <c r="B38" t="n">
        <v>36.5</v>
      </c>
      <c r="D38">
        <f>$G$5*(1+$G$6)^-(B38-30)</f>
        <v/>
      </c>
    </row>
    <row r="39">
      <c r="A39" t="n">
        <v>38</v>
      </c>
      <c r="B39" t="n">
        <v>37.5</v>
      </c>
      <c r="D39">
        <f>$G$5*(1+$G$6)^-(B39-30)</f>
        <v/>
      </c>
    </row>
    <row r="40">
      <c r="A40" t="n">
        <v>39</v>
      </c>
      <c r="B40" t="n">
        <v>38.5</v>
      </c>
      <c r="D40">
        <f>$G$5*(1+$G$6)^-(B40-30)</f>
        <v/>
      </c>
    </row>
    <row r="41">
      <c r="A41" t="n">
        <v>40</v>
      </c>
      <c r="B41" t="n">
        <v>39.5</v>
      </c>
      <c r="D41">
        <f>$G$5*(1+$G$6)^-(B41-30)</f>
        <v/>
      </c>
    </row>
    <row r="42">
      <c r="A42" t="n">
        <v>41</v>
      </c>
      <c r="B42" t="n">
        <v>40.5</v>
      </c>
      <c r="D42">
        <f>$G$5*(1+$G$6)^-(B42-30)</f>
        <v/>
      </c>
    </row>
    <row r="43">
      <c r="A43" t="n">
        <v>42</v>
      </c>
      <c r="B43" t="n">
        <v>41.5</v>
      </c>
      <c r="D43">
        <f>$G$5*(1+$G$6)^-(B43-30)</f>
        <v/>
      </c>
    </row>
    <row r="44">
      <c r="A44" t="n">
        <v>43</v>
      </c>
      <c r="B44" t="n">
        <v>42.5</v>
      </c>
      <c r="D44">
        <f>$G$5*(1+$G$6)^-(B44-30)</f>
        <v/>
      </c>
    </row>
    <row r="45">
      <c r="A45" t="n">
        <v>44</v>
      </c>
      <c r="B45" t="n">
        <v>43.5</v>
      </c>
      <c r="D45">
        <f>$G$5*(1+$G$6)^-(B45-30)</f>
        <v/>
      </c>
    </row>
    <row r="46">
      <c r="A46" t="n">
        <v>45</v>
      </c>
      <c r="B46" t="n">
        <v>44.5</v>
      </c>
      <c r="D46">
        <f>$G$5*(1+$G$6)^-(B46-30)</f>
        <v/>
      </c>
    </row>
    <row r="47">
      <c r="A47" t="n">
        <v>46</v>
      </c>
      <c r="B47" t="n">
        <v>45.5</v>
      </c>
      <c r="D47">
        <f>$G$5*(1+$G$6)^-(B47-30)</f>
        <v/>
      </c>
    </row>
    <row r="48">
      <c r="A48" t="n">
        <v>47</v>
      </c>
      <c r="B48" t="n">
        <v>46.5</v>
      </c>
      <c r="D48">
        <f>$G$5*(1+$G$6)^-(B48-30)</f>
        <v/>
      </c>
    </row>
    <row r="49">
      <c r="A49" t="n">
        <v>48</v>
      </c>
      <c r="B49" t="n">
        <v>47.5</v>
      </c>
      <c r="D49">
        <f>$G$5*(1+$G$6)^-(B49-30)</f>
        <v/>
      </c>
    </row>
    <row r="50">
      <c r="A50" t="n">
        <v>49</v>
      </c>
      <c r="B50" t="n">
        <v>48.5</v>
      </c>
      <c r="D50">
        <f>$G$5*(1+$G$6)^-(B50-30)</f>
        <v/>
      </c>
    </row>
    <row r="51">
      <c r="A51" t="n">
        <v>50</v>
      </c>
      <c r="B51" t="n">
        <v>49.5</v>
      </c>
      <c r="D51">
        <f>$G$5*(1+$G$6)^-(B51-30)</f>
        <v/>
      </c>
    </row>
    <row r="52">
      <c r="A52" t="n">
        <v>51</v>
      </c>
      <c r="B52" t="n">
        <v>50.5</v>
      </c>
      <c r="D52">
        <f>$G$5*(1+$G$6)^-(B52-30)</f>
        <v/>
      </c>
    </row>
    <row r="53">
      <c r="A53" t="n">
        <v>52</v>
      </c>
      <c r="B53" t="n">
        <v>51.5</v>
      </c>
      <c r="D53">
        <f>$G$5*(1+$G$6)^-(B53-30)</f>
        <v/>
      </c>
    </row>
    <row r="54">
      <c r="A54" t="n">
        <v>53</v>
      </c>
      <c r="B54" t="n">
        <v>52.5</v>
      </c>
      <c r="D54">
        <f>$G$5*(1+$G$6)^-(B54-30)</f>
        <v/>
      </c>
    </row>
    <row r="55">
      <c r="A55" t="n">
        <v>54</v>
      </c>
      <c r="B55" t="n">
        <v>53.5</v>
      </c>
      <c r="D55">
        <f>$G$5*(1+$G$6)^-(B55-30)</f>
        <v/>
      </c>
    </row>
    <row r="56">
      <c r="A56" t="n">
        <v>55</v>
      </c>
      <c r="B56" t="n">
        <v>54.5</v>
      </c>
      <c r="D56">
        <f>$G$5*(1+$G$6)^-(B56-30)</f>
        <v/>
      </c>
    </row>
    <row r="57">
      <c r="A57" t="n">
        <v>56</v>
      </c>
      <c r="B57" t="n">
        <v>55.5</v>
      </c>
      <c r="D57">
        <f>$G$5*(1+$G$6)^-(B57-30)</f>
        <v/>
      </c>
    </row>
    <row r="58">
      <c r="A58" t="n">
        <v>57</v>
      </c>
      <c r="B58" t="n">
        <v>56.5</v>
      </c>
      <c r="D58">
        <f>$G$5*(1+$G$6)^-(B58-30)</f>
        <v/>
      </c>
    </row>
    <row r="59">
      <c r="A59" t="n">
        <v>58</v>
      </c>
      <c r="B59" t="n">
        <v>57.5</v>
      </c>
      <c r="D59">
        <f>$G$5*(1+$G$6)^-(B59-30)</f>
        <v/>
      </c>
    </row>
    <row r="60">
      <c r="A60" t="n">
        <v>59</v>
      </c>
      <c r="B60" t="n">
        <v>58.5</v>
      </c>
      <c r="D60">
        <f>$G$5*(1+$G$6)^-(B60-30)</f>
        <v/>
      </c>
    </row>
    <row r="61">
      <c r="A61" t="n">
        <v>60</v>
      </c>
      <c r="B61" t="n">
        <v>59.5</v>
      </c>
      <c r="D61">
        <f>$G$5*(1+$G$6)^-(B61-30)</f>
        <v/>
      </c>
    </row>
    <row r="62">
      <c r="A62" t="n">
        <v>61</v>
      </c>
      <c r="B62" t="n">
        <v>60.5</v>
      </c>
      <c r="D62">
        <f>$G$5*(1+$G$6)^-(B62-30)</f>
        <v/>
      </c>
    </row>
    <row r="63">
      <c r="A63" t="n">
        <v>62</v>
      </c>
      <c r="B63" t="n">
        <v>61.5</v>
      </c>
      <c r="D63">
        <f>$G$5*(1+$G$6)^-(B63-30)</f>
        <v/>
      </c>
    </row>
    <row r="64">
      <c r="A64" t="n">
        <v>63</v>
      </c>
      <c r="B64" t="n">
        <v>62.5</v>
      </c>
      <c r="D64">
        <f>$G$5*(1+$G$6)^-(B64-30)</f>
        <v/>
      </c>
    </row>
    <row r="65">
      <c r="A65" t="n">
        <v>64</v>
      </c>
      <c r="B65" t="n">
        <v>63.5</v>
      </c>
      <c r="D65">
        <f>$G$5*(1+$G$6)^-(B65-30)</f>
        <v/>
      </c>
    </row>
    <row r="66">
      <c r="A66" t="n">
        <v>65</v>
      </c>
      <c r="B66" t="n">
        <v>64.5</v>
      </c>
      <c r="D66">
        <f>$G$5*(1+$G$6)^-(B66-30)</f>
        <v/>
      </c>
    </row>
    <row r="67">
      <c r="A67" t="n">
        <v>66</v>
      </c>
      <c r="B67" t="n">
        <v>65.5</v>
      </c>
      <c r="D67">
        <f>$G$5*(1+$G$6)^-(B67-30)</f>
        <v/>
      </c>
    </row>
    <row r="68">
      <c r="A68" t="n">
        <v>67</v>
      </c>
      <c r="B68" t="n">
        <v>66.5</v>
      </c>
      <c r="D68">
        <f>$G$5*(1+$G$6)^-(B68-30)</f>
        <v/>
      </c>
    </row>
    <row r="69">
      <c r="A69" t="n">
        <v>68</v>
      </c>
      <c r="B69" t="n">
        <v>67.5</v>
      </c>
      <c r="D69">
        <f>$G$5*(1+$G$6)^-(B69-30)</f>
        <v/>
      </c>
    </row>
    <row r="70">
      <c r="A70" t="n">
        <v>69</v>
      </c>
      <c r="B70" t="n">
        <v>68.5</v>
      </c>
      <c r="D70">
        <f>$G$5*(1+$G$6)^-(B70-30)</f>
        <v/>
      </c>
    </row>
    <row r="71">
      <c r="A71" t="n">
        <v>70</v>
      </c>
      <c r="B71" t="n">
        <v>69.5</v>
      </c>
      <c r="D71">
        <f>$G$5*(1+$G$6)^-(B71-30)</f>
        <v/>
      </c>
    </row>
    <row r="72">
      <c r="A72" t="n">
        <v>71</v>
      </c>
      <c r="B72" t="n">
        <v>70.5</v>
      </c>
      <c r="D72">
        <f>$G$5*(1+$G$6)^-(B72-30)</f>
        <v/>
      </c>
    </row>
    <row r="73">
      <c r="A73" t="n">
        <v>72</v>
      </c>
      <c r="B73" t="n">
        <v>71.5</v>
      </c>
      <c r="D73">
        <f>$G$5*(1+$G$6)^-(B73-30)</f>
        <v/>
      </c>
    </row>
    <row r="74">
      <c r="A74" t="n">
        <v>73</v>
      </c>
      <c r="B74" t="n">
        <v>72.5</v>
      </c>
      <c r="D74">
        <f>$G$5*(1+$G$6)^-(B74-30)</f>
        <v/>
      </c>
    </row>
    <row r="75">
      <c r="A75" t="n">
        <v>74</v>
      </c>
      <c r="B75" t="n">
        <v>73.5</v>
      </c>
      <c r="D75">
        <f>$G$5*(1+$G$6)^-(B75-30)</f>
        <v/>
      </c>
    </row>
    <row r="76">
      <c r="A76" t="n">
        <v>75</v>
      </c>
      <c r="B76" t="n">
        <v>74.5</v>
      </c>
      <c r="D76">
        <f>$G$5*(1+$G$6)^-(B76-30)</f>
        <v/>
      </c>
    </row>
    <row r="77">
      <c r="A77" t="n">
        <v>76</v>
      </c>
      <c r="B77" t="n">
        <v>75.5</v>
      </c>
      <c r="D77">
        <f>$G$5*(1+$G$6)^-(B77-30)</f>
        <v/>
      </c>
    </row>
    <row r="78">
      <c r="A78" t="n">
        <v>77</v>
      </c>
      <c r="B78" t="n">
        <v>76.5</v>
      </c>
      <c r="D78">
        <f>$G$5*(1+$G$6)^-(B78-30)</f>
        <v/>
      </c>
    </row>
    <row r="79">
      <c r="A79" t="n">
        <v>78</v>
      </c>
      <c r="B79" t="n">
        <v>77.5</v>
      </c>
      <c r="D79">
        <f>$G$5*(1+$G$6)^-(B79-30)</f>
        <v/>
      </c>
    </row>
    <row r="80">
      <c r="A80" t="n">
        <v>79</v>
      </c>
      <c r="B80" t="n">
        <v>78.5</v>
      </c>
      <c r="D80">
        <f>$G$5*(1+$G$6)^-(B80-30)</f>
        <v/>
      </c>
    </row>
    <row r="81">
      <c r="A81" t="n">
        <v>80</v>
      </c>
      <c r="B81" t="n">
        <v>79.5</v>
      </c>
      <c r="D81">
        <f>$G$5*(1+$G$6)^-(B81-30)</f>
        <v/>
      </c>
    </row>
    <row r="82">
      <c r="A82" t="n">
        <v>81</v>
      </c>
      <c r="B82" t="n">
        <v>80.5</v>
      </c>
      <c r="D82">
        <f>$G$5*(1+$G$6)^-(B82-30)</f>
        <v/>
      </c>
    </row>
    <row r="83">
      <c r="A83" t="n">
        <v>82</v>
      </c>
      <c r="B83" t="n">
        <v>81.5</v>
      </c>
      <c r="D83">
        <f>$G$5*(1+$G$6)^-(B83-30)</f>
        <v/>
      </c>
    </row>
    <row r="84">
      <c r="A84" t="n">
        <v>83</v>
      </c>
      <c r="B84" t="n">
        <v>82.5</v>
      </c>
      <c r="D84">
        <f>$G$5*(1+$G$6)^-(B84-30)</f>
        <v/>
      </c>
    </row>
    <row r="85">
      <c r="A85" t="n">
        <v>84</v>
      </c>
      <c r="B85" t="n">
        <v>83.5</v>
      </c>
      <c r="D85">
        <f>$G$5*(1+$G$6)^-(B85-30)</f>
        <v/>
      </c>
    </row>
    <row r="86">
      <c r="A86" t="n">
        <v>85</v>
      </c>
      <c r="B86" t="n">
        <v>84.5</v>
      </c>
      <c r="D86">
        <f>$G$5*(1+$G$6)^-(B86-30)</f>
        <v/>
      </c>
    </row>
    <row r="87">
      <c r="A87" t="n">
        <v>86</v>
      </c>
      <c r="B87" t="n">
        <v>85.5</v>
      </c>
      <c r="D87">
        <f>$G$5*(1+$G$6)^-(B87-30)</f>
        <v/>
      </c>
    </row>
    <row r="88">
      <c r="A88" t="n">
        <v>87</v>
      </c>
      <c r="B88" t="n">
        <v>86.5</v>
      </c>
      <c r="D88">
        <f>$G$5*(1+$G$6)^-(B88-30)</f>
        <v/>
      </c>
    </row>
    <row r="89">
      <c r="A89" t="n">
        <v>88</v>
      </c>
      <c r="B89" t="n">
        <v>87.5</v>
      </c>
      <c r="D89">
        <f>$G$5*(1+$G$6)^-(B89-30)</f>
        <v/>
      </c>
    </row>
    <row r="90">
      <c r="A90" t="n">
        <v>89</v>
      </c>
      <c r="B90" t="n">
        <v>88.5</v>
      </c>
      <c r="D90">
        <f>$G$5*(1+$G$6)^-(B90-30)</f>
        <v/>
      </c>
    </row>
    <row r="91">
      <c r="A91" t="n">
        <v>90</v>
      </c>
      <c r="B91" t="n">
        <v>89.5</v>
      </c>
      <c r="D91">
        <f>$G$5*(1+$G$6)^-(B91-30)</f>
        <v/>
      </c>
    </row>
    <row r="92">
      <c r="A92" t="n">
        <v>91</v>
      </c>
      <c r="B92" t="n">
        <v>90.5</v>
      </c>
      <c r="D92">
        <f>$G$5*(1+$G$6)^-(B92-30)</f>
        <v/>
      </c>
    </row>
    <row r="93">
      <c r="A93" t="n">
        <v>92</v>
      </c>
      <c r="B93" t="n">
        <v>91.5</v>
      </c>
      <c r="D93">
        <f>$G$5*(1+$G$6)^-(B93-30)</f>
        <v/>
      </c>
    </row>
    <row r="94">
      <c r="A94" t="n">
        <v>93</v>
      </c>
      <c r="B94" t="n">
        <v>92.5</v>
      </c>
      <c r="D94">
        <f>$G$5*(1+$G$6)^-(B94-30)</f>
        <v/>
      </c>
    </row>
    <row r="95">
      <c r="A95" t="n">
        <v>94</v>
      </c>
      <c r="B95" t="n">
        <v>93.5</v>
      </c>
      <c r="D95">
        <f>$G$5*(1+$G$6)^-(B95-30)</f>
        <v/>
      </c>
    </row>
    <row r="96">
      <c r="A96" t="n">
        <v>95</v>
      </c>
      <c r="B96" t="n">
        <v>94.5</v>
      </c>
      <c r="D96">
        <f>$G$5*(1+$G$6)^-(B96-30)</f>
        <v/>
      </c>
    </row>
    <row r="97">
      <c r="A97" t="n">
        <v>96</v>
      </c>
      <c r="B97" t="n">
        <v>95.5</v>
      </c>
      <c r="D97">
        <f>$G$5*(1+$G$6)^-(B97-30)</f>
        <v/>
      </c>
    </row>
    <row r="98">
      <c r="A98" t="n">
        <v>97</v>
      </c>
      <c r="B98" t="n">
        <v>96.5</v>
      </c>
      <c r="D98">
        <f>$G$5*(1+$G$6)^-(B98-30)</f>
        <v/>
      </c>
    </row>
    <row r="99">
      <c r="A99" t="n">
        <v>98</v>
      </c>
      <c r="B99" t="n">
        <v>97.5</v>
      </c>
      <c r="D99">
        <f>$G$5*(1+$G$6)^-(B99-30)</f>
        <v/>
      </c>
    </row>
    <row r="100">
      <c r="A100" t="n">
        <v>99</v>
      </c>
      <c r="B100" t="n">
        <v>98.5</v>
      </c>
      <c r="D100">
        <f>$G$5*(1+$G$6)^-(B100-30)</f>
        <v/>
      </c>
    </row>
    <row r="101">
      <c r="A101" t="n">
        <v>100</v>
      </c>
      <c r="B101" t="n">
        <v>99.5</v>
      </c>
      <c r="D101">
        <f>$G$5*(1+$G$6)^-(B101-30)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payment time</t>
        </is>
      </c>
      <c r="C1" t="inlineStr">
        <is>
          <t>AAA spot (annual) at payment time</t>
        </is>
      </c>
      <c r="D1" t="inlineStr">
        <is>
          <t>discount factor (AAA + spread)</t>
        </is>
      </c>
      <c r="F1" t="inlineStr">
        <is>
          <t>spread</t>
        </is>
      </c>
      <c r="G1" s="2" t="n">
        <v>0.005</v>
      </c>
    </row>
    <row r="2">
      <c r="A2" t="n">
        <v>1</v>
      </c>
      <c r="B2" t="n">
        <v>0.5</v>
      </c>
      <c r="C2" s="2" t="n">
        <v>0.020129285</v>
      </c>
      <c r="D2">
        <f>(1+C2+$G$1)^-B2</f>
        <v/>
      </c>
      <c r="F2" t="inlineStr">
        <is>
          <t>AAA spot 29y</t>
        </is>
      </c>
      <c r="G2" s="2" t="n">
        <v>0.0354761704</v>
      </c>
    </row>
    <row r="3">
      <c r="A3" t="n">
        <v>2</v>
      </c>
      <c r="B3" t="n">
        <v>1.5</v>
      </c>
      <c r="C3" s="2" t="n">
        <v>0.0208430289</v>
      </c>
      <c r="D3">
        <f>(1+C3+$G$1)^-B3</f>
        <v/>
      </c>
      <c r="F3" t="inlineStr">
        <is>
          <t>AAA spot 30y</t>
        </is>
      </c>
      <c r="G3" s="2" t="n">
        <v>0.0353983976</v>
      </c>
    </row>
    <row r="4">
      <c r="A4" t="n">
        <v>3</v>
      </c>
      <c r="B4" t="n">
        <v>2.5</v>
      </c>
      <c r="C4" s="2" t="n">
        <v>0.0218220998</v>
      </c>
      <c r="D4">
        <f>(1+C4+$G$1)^-B4</f>
        <v/>
      </c>
      <c r="F4" t="inlineStr">
        <is>
          <t>DF 29y</t>
        </is>
      </c>
      <c r="G4">
        <f>(1+G2+G1)^-29</f>
        <v/>
      </c>
    </row>
    <row r="5">
      <c r="A5" t="n">
        <v>4</v>
      </c>
      <c r="B5" t="n">
        <v>3.5</v>
      </c>
      <c r="C5" s="2" t="n">
        <v>0.0229411859</v>
      </c>
      <c r="D5">
        <f>(1+C5+$G$1)^-B5</f>
        <v/>
      </c>
      <c r="F5" t="inlineStr">
        <is>
          <t>DF 30y</t>
        </is>
      </c>
      <c r="G5">
        <f>(1+G3+G1)^-30</f>
        <v/>
      </c>
    </row>
    <row r="6">
      <c r="A6" t="n">
        <v>5</v>
      </c>
      <c r="B6" t="n">
        <v>4.5</v>
      </c>
      <c r="C6" s="2" t="n">
        <v>0.0241166891</v>
      </c>
      <c r="D6">
        <f>(1+C6+$G$1)^-B6</f>
        <v/>
      </c>
      <c r="F6" t="inlineStr">
        <is>
          <t>forward 29-30y</t>
        </is>
      </c>
      <c r="G6">
        <f>G4/G5-1</f>
        <v/>
      </c>
    </row>
    <row r="7">
      <c r="A7" t="n">
        <v>6</v>
      </c>
      <c r="B7" t="n">
        <v>5.5</v>
      </c>
      <c r="C7" s="2" t="n">
        <v>0.0252935373</v>
      </c>
      <c r="D7">
        <f>(1+C7+$G$1)^-B7</f>
        <v/>
      </c>
    </row>
    <row r="8">
      <c r="A8" t="n">
        <v>7</v>
      </c>
      <c r="B8" t="n">
        <v>6.5</v>
      </c>
      <c r="C8" s="2" t="n">
        <v>0.0264361712</v>
      </c>
      <c r="D8">
        <f>(1+C8+$G$1)^-B8</f>
        <v/>
      </c>
    </row>
    <row r="9">
      <c r="A9" t="n">
        <v>8</v>
      </c>
      <c r="B9" t="n">
        <v>7.5</v>
      </c>
      <c r="C9" s="2" t="n">
        <v>0.0275223644</v>
      </c>
      <c r="D9">
        <f>(1+C9+$G$1)^-B9</f>
        <v/>
      </c>
    </row>
    <row r="10">
      <c r="A10" t="n">
        <v>9</v>
      </c>
      <c r="B10" t="n">
        <v>8.5</v>
      </c>
      <c r="C10" s="2" t="n">
        <v>0.0285389757</v>
      </c>
      <c r="D10">
        <f>(1+C10+$G$1)^-B10</f>
        <v/>
      </c>
    </row>
    <row r="11">
      <c r="A11" t="n">
        <v>10</v>
      </c>
      <c r="B11" t="n">
        <v>9.5</v>
      </c>
      <c r="C11" s="2" t="n">
        <v>0.0294790271</v>
      </c>
      <c r="D11">
        <f>(1+C11+$G$1)^-B11</f>
        <v/>
      </c>
    </row>
    <row r="12">
      <c r="A12" t="n">
        <v>11</v>
      </c>
      <c r="B12" t="n">
        <v>10.5</v>
      </c>
      <c r="C12" s="2" t="n">
        <v>0.0303396888</v>
      </c>
      <c r="D12">
        <f>(1+C12+$G$1)^-B12</f>
        <v/>
      </c>
    </row>
    <row r="13">
      <c r="A13" t="n">
        <v>12</v>
      </c>
      <c r="B13" t="n">
        <v>11.5</v>
      </c>
      <c r="C13" s="2" t="n">
        <v>0.0311208921</v>
      </c>
      <c r="D13">
        <f>(1+C13+$G$1)^-B13</f>
        <v/>
      </c>
    </row>
    <row r="14">
      <c r="A14" t="n">
        <v>13</v>
      </c>
      <c r="B14" t="n">
        <v>12.5</v>
      </c>
      <c r="C14" s="2" t="n">
        <v>0.0318243729</v>
      </c>
      <c r="D14">
        <f>(1+C14+$G$1)^-B14</f>
        <v/>
      </c>
    </row>
    <row r="15">
      <c r="A15" t="n">
        <v>14</v>
      </c>
      <c r="B15" t="n">
        <v>13.5</v>
      </c>
      <c r="C15" s="2" t="n">
        <v>0.0324530136</v>
      </c>
      <c r="D15">
        <f>(1+C15+$G$1)^-B15</f>
        <v/>
      </c>
    </row>
    <row r="16">
      <c r="A16" t="n">
        <v>15</v>
      </c>
      <c r="B16" t="n">
        <v>14.5</v>
      </c>
      <c r="C16" s="2" t="n">
        <v>0.033010391</v>
      </c>
      <c r="D16">
        <f>(1+C16+$G$1)^-B16</f>
        <v/>
      </c>
    </row>
    <row r="17">
      <c r="A17" t="n">
        <v>16</v>
      </c>
      <c r="B17" t="n">
        <v>15.5</v>
      </c>
      <c r="C17" s="2" t="n">
        <v>0.0335004673</v>
      </c>
      <c r="D17">
        <f>(1+C17+$G$1)^-B17</f>
        <v/>
      </c>
    </row>
    <row r="18">
      <c r="A18" t="n">
        <v>17</v>
      </c>
      <c r="B18" t="n">
        <v>16.5</v>
      </c>
      <c r="C18" s="2" t="n">
        <v>0.0339273799</v>
      </c>
      <c r="D18">
        <f>(1+C18+$G$1)^-B18</f>
        <v/>
      </c>
    </row>
    <row r="19">
      <c r="A19" t="n">
        <v>18</v>
      </c>
      <c r="B19" t="n">
        <v>17.5</v>
      </c>
      <c r="C19" s="2" t="n">
        <v>0.034295299</v>
      </c>
      <c r="D19">
        <f>(1+C19+$G$1)^-B19</f>
        <v/>
      </c>
    </row>
    <row r="20">
      <c r="A20" t="n">
        <v>19</v>
      </c>
      <c r="B20" t="n">
        <v>18.5</v>
      </c>
      <c r="C20" s="2" t="n">
        <v>0.0346083341</v>
      </c>
      <c r="D20">
        <f>(1+C20+$G$1)^-B20</f>
        <v/>
      </c>
    </row>
    <row r="21">
      <c r="A21" t="n">
        <v>20</v>
      </c>
      <c r="B21" t="n">
        <v>19.5</v>
      </c>
      <c r="C21" s="2" t="n">
        <v>0.0348704723</v>
      </c>
      <c r="D21">
        <f>(1+C21+$G$1)^-B21</f>
        <v/>
      </c>
    </row>
    <row r="22">
      <c r="A22" t="n">
        <v>21</v>
      </c>
      <c r="B22" t="n">
        <v>20.5</v>
      </c>
      <c r="C22" s="2" t="n">
        <v>0.0350855403</v>
      </c>
      <c r="D22">
        <f>(1+C22+$G$1)^-B22</f>
        <v/>
      </c>
    </row>
    <row r="23">
      <c r="A23" t="n">
        <v>22</v>
      </c>
      <c r="B23" t="n">
        <v>21.5</v>
      </c>
      <c r="C23" s="2" t="n">
        <v>0.0352571813</v>
      </c>
      <c r="D23">
        <f>(1+C23+$G$1)^-B23</f>
        <v/>
      </c>
    </row>
    <row r="24">
      <c r="A24" t="n">
        <v>23</v>
      </c>
      <c r="B24" t="n">
        <v>22.5</v>
      </c>
      <c r="C24" s="2" t="n">
        <v>0.0353888438</v>
      </c>
      <c r="D24">
        <f>(1+C24+$G$1)^-B24</f>
        <v/>
      </c>
    </row>
    <row r="25">
      <c r="A25" t="n">
        <v>24</v>
      </c>
      <c r="B25" t="n">
        <v>23.5</v>
      </c>
      <c r="C25" s="2" t="n">
        <v>0.0354837769</v>
      </c>
      <c r="D25">
        <f>(1+C25+$G$1)^-B25</f>
        <v/>
      </c>
    </row>
    <row r="26">
      <c r="A26" t="n">
        <v>25</v>
      </c>
      <c r="B26" t="n">
        <v>24.5</v>
      </c>
      <c r="C26" s="2" t="n">
        <v>0.0355450313</v>
      </c>
      <c r="D26">
        <f>(1+C26+$G$1)^-B26</f>
        <v/>
      </c>
    </row>
    <row r="27">
      <c r="A27" t="n">
        <v>26</v>
      </c>
      <c r="B27" t="n">
        <v>25.5</v>
      </c>
      <c r="C27" s="2" t="n">
        <v>0.0355754634</v>
      </c>
      <c r="D27">
        <f>(1+C27+$G$1)^-B27</f>
        <v/>
      </c>
    </row>
    <row r="28">
      <c r="A28" t="n">
        <v>27</v>
      </c>
      <c r="B28" t="n">
        <v>26.5</v>
      </c>
      <c r="C28" s="2" t="n">
        <v>0.0355777416</v>
      </c>
      <c r="D28">
        <f>(1+C28+$G$1)^-B28</f>
        <v/>
      </c>
    </row>
    <row r="29">
      <c r="A29" t="n">
        <v>28</v>
      </c>
      <c r="B29" t="n">
        <v>27.5</v>
      </c>
      <c r="C29" s="2" t="n">
        <v>0.0355543537</v>
      </c>
      <c r="D29">
        <f>(1+C29+$G$1)^-B29</f>
        <v/>
      </c>
    </row>
    <row r="30">
      <c r="A30" t="n">
        <v>29</v>
      </c>
      <c r="B30" t="n">
        <v>28.5</v>
      </c>
      <c r="C30" s="2" t="n">
        <v>0.0355076163</v>
      </c>
      <c r="D30">
        <f>(1+C30+$G$1)^-B30</f>
        <v/>
      </c>
    </row>
    <row r="31">
      <c r="A31" t="n">
        <v>30</v>
      </c>
      <c r="B31" t="n">
        <v>29.5</v>
      </c>
      <c r="C31" s="2" t="n">
        <v>0.0354396825</v>
      </c>
      <c r="D31">
        <f>(1+C31+$G$1)^-B31</f>
        <v/>
      </c>
    </row>
    <row r="32">
      <c r="A32" t="n">
        <v>31</v>
      </c>
      <c r="B32" t="n">
        <v>30.5</v>
      </c>
      <c r="D32">
        <f>$G$5*(1+$G$6)^-(B32-30)</f>
        <v/>
      </c>
    </row>
    <row r="33">
      <c r="A33" t="n">
        <v>32</v>
      </c>
      <c r="B33" t="n">
        <v>31.5</v>
      </c>
      <c r="D33">
        <f>$G$5*(1+$G$6)^-(B33-30)</f>
        <v/>
      </c>
    </row>
    <row r="34">
      <c r="A34" t="n">
        <v>33</v>
      </c>
      <c r="B34" t="n">
        <v>32.5</v>
      </c>
      <c r="D34">
        <f>$G$5*(1+$G$6)^-(B34-30)</f>
        <v/>
      </c>
    </row>
    <row r="35">
      <c r="A35" t="n">
        <v>34</v>
      </c>
      <c r="B35" t="n">
        <v>33.5</v>
      </c>
      <c r="D35">
        <f>$G$5*(1+$G$6)^-(B35-30)</f>
        <v/>
      </c>
    </row>
    <row r="36">
      <c r="A36" t="n">
        <v>35</v>
      </c>
      <c r="B36" t="n">
        <v>34.5</v>
      </c>
      <c r="D36">
        <f>$G$5*(1+$G$6)^-(B36-30)</f>
        <v/>
      </c>
    </row>
    <row r="37">
      <c r="A37" t="n">
        <v>36</v>
      </c>
      <c r="B37" t="n">
        <v>35.5</v>
      </c>
      <c r="D37">
        <f>$G$5*(1+$G$6)^-(B37-30)</f>
        <v/>
      </c>
    </row>
    <row r="38">
      <c r="A38" t="n">
        <v>37</v>
      </c>
      <c r="B38" t="n">
        <v>36.5</v>
      </c>
      <c r="D38">
        <f>$G$5*(1+$G$6)^-(B38-30)</f>
        <v/>
      </c>
    </row>
    <row r="39">
      <c r="A39" t="n">
        <v>38</v>
      </c>
      <c r="B39" t="n">
        <v>37.5</v>
      </c>
      <c r="D39">
        <f>$G$5*(1+$G$6)^-(B39-30)</f>
        <v/>
      </c>
    </row>
    <row r="40">
      <c r="A40" t="n">
        <v>39</v>
      </c>
      <c r="B40" t="n">
        <v>38.5</v>
      </c>
      <c r="D40">
        <f>$G$5*(1+$G$6)^-(B40-30)</f>
        <v/>
      </c>
    </row>
    <row r="41">
      <c r="A41" t="n">
        <v>40</v>
      </c>
      <c r="B41" t="n">
        <v>39.5</v>
      </c>
      <c r="D41">
        <f>$G$5*(1+$G$6)^-(B41-30)</f>
        <v/>
      </c>
    </row>
    <row r="42">
      <c r="A42" t="n">
        <v>41</v>
      </c>
      <c r="B42" t="n">
        <v>40.5</v>
      </c>
      <c r="D42">
        <f>$G$5*(1+$G$6)^-(B42-30)</f>
        <v/>
      </c>
    </row>
    <row r="43">
      <c r="A43" t="n">
        <v>42</v>
      </c>
      <c r="B43" t="n">
        <v>41.5</v>
      </c>
      <c r="D43">
        <f>$G$5*(1+$G$6)^-(B43-30)</f>
        <v/>
      </c>
    </row>
    <row r="44">
      <c r="A44" t="n">
        <v>43</v>
      </c>
      <c r="B44" t="n">
        <v>42.5</v>
      </c>
      <c r="D44">
        <f>$G$5*(1+$G$6)^-(B44-30)</f>
        <v/>
      </c>
    </row>
    <row r="45">
      <c r="A45" t="n">
        <v>44</v>
      </c>
      <c r="B45" t="n">
        <v>43.5</v>
      </c>
      <c r="D45">
        <f>$G$5*(1+$G$6)^-(B45-30)</f>
        <v/>
      </c>
    </row>
    <row r="46">
      <c r="A46" t="n">
        <v>45</v>
      </c>
      <c r="B46" t="n">
        <v>44.5</v>
      </c>
      <c r="D46">
        <f>$G$5*(1+$G$6)^-(B46-30)</f>
        <v/>
      </c>
    </row>
    <row r="47">
      <c r="A47" t="n">
        <v>46</v>
      </c>
      <c r="B47" t="n">
        <v>45.5</v>
      </c>
      <c r="D47">
        <f>$G$5*(1+$G$6)^-(B47-30)</f>
        <v/>
      </c>
    </row>
    <row r="48">
      <c r="A48" t="n">
        <v>47</v>
      </c>
      <c r="B48" t="n">
        <v>46.5</v>
      </c>
      <c r="D48">
        <f>$G$5*(1+$G$6)^-(B48-30)</f>
        <v/>
      </c>
    </row>
    <row r="49">
      <c r="A49" t="n">
        <v>48</v>
      </c>
      <c r="B49" t="n">
        <v>47.5</v>
      </c>
      <c r="D49">
        <f>$G$5*(1+$G$6)^-(B49-30)</f>
        <v/>
      </c>
    </row>
    <row r="50">
      <c r="A50" t="n">
        <v>49</v>
      </c>
      <c r="B50" t="n">
        <v>48.5</v>
      </c>
      <c r="D50">
        <f>$G$5*(1+$G$6)^-(B50-30)</f>
        <v/>
      </c>
    </row>
    <row r="51">
      <c r="A51" t="n">
        <v>50</v>
      </c>
      <c r="B51" t="n">
        <v>49.5</v>
      </c>
      <c r="D51">
        <f>$G$5*(1+$G$6)^-(B51-30)</f>
        <v/>
      </c>
    </row>
    <row r="52">
      <c r="A52" t="n">
        <v>51</v>
      </c>
      <c r="B52" t="n">
        <v>50.5</v>
      </c>
      <c r="D52">
        <f>$G$5*(1+$G$6)^-(B52-30)</f>
        <v/>
      </c>
    </row>
    <row r="53">
      <c r="A53" t="n">
        <v>52</v>
      </c>
      <c r="B53" t="n">
        <v>51.5</v>
      </c>
      <c r="D53">
        <f>$G$5*(1+$G$6)^-(B53-30)</f>
        <v/>
      </c>
    </row>
    <row r="54">
      <c r="A54" t="n">
        <v>53</v>
      </c>
      <c r="B54" t="n">
        <v>52.5</v>
      </c>
      <c r="D54">
        <f>$G$5*(1+$G$6)^-(B54-30)</f>
        <v/>
      </c>
    </row>
    <row r="55">
      <c r="A55" t="n">
        <v>54</v>
      </c>
      <c r="B55" t="n">
        <v>53.5</v>
      </c>
      <c r="D55">
        <f>$G$5*(1+$G$6)^-(B55-30)</f>
        <v/>
      </c>
    </row>
    <row r="56">
      <c r="A56" t="n">
        <v>55</v>
      </c>
      <c r="B56" t="n">
        <v>54.5</v>
      </c>
      <c r="D56">
        <f>$G$5*(1+$G$6)^-(B56-30)</f>
        <v/>
      </c>
    </row>
    <row r="57">
      <c r="A57" t="n">
        <v>56</v>
      </c>
      <c r="B57" t="n">
        <v>55.5</v>
      </c>
      <c r="D57">
        <f>$G$5*(1+$G$6)^-(B57-30)</f>
        <v/>
      </c>
    </row>
    <row r="58">
      <c r="A58" t="n">
        <v>57</v>
      </c>
      <c r="B58" t="n">
        <v>56.5</v>
      </c>
      <c r="D58">
        <f>$G$5*(1+$G$6)^-(B58-30)</f>
        <v/>
      </c>
    </row>
    <row r="59">
      <c r="A59" t="n">
        <v>58</v>
      </c>
      <c r="B59" t="n">
        <v>57.5</v>
      </c>
      <c r="D59">
        <f>$G$5*(1+$G$6)^-(B59-30)</f>
        <v/>
      </c>
    </row>
    <row r="60">
      <c r="A60" t="n">
        <v>59</v>
      </c>
      <c r="B60" t="n">
        <v>58.5</v>
      </c>
      <c r="D60">
        <f>$G$5*(1+$G$6)^-(B60-30)</f>
        <v/>
      </c>
    </row>
    <row r="61">
      <c r="A61" t="n">
        <v>60</v>
      </c>
      <c r="B61" t="n">
        <v>59.5</v>
      </c>
      <c r="D61">
        <f>$G$5*(1+$G$6)^-(B61-30)</f>
        <v/>
      </c>
    </row>
    <row r="62">
      <c r="A62" t="n">
        <v>61</v>
      </c>
      <c r="B62" t="n">
        <v>60.5</v>
      </c>
      <c r="D62">
        <f>$G$5*(1+$G$6)^-(B62-30)</f>
        <v/>
      </c>
    </row>
    <row r="63">
      <c r="A63" t="n">
        <v>62</v>
      </c>
      <c r="B63" t="n">
        <v>61.5</v>
      </c>
      <c r="D63">
        <f>$G$5*(1+$G$6)^-(B63-30)</f>
        <v/>
      </c>
    </row>
    <row r="64">
      <c r="A64" t="n">
        <v>63</v>
      </c>
      <c r="B64" t="n">
        <v>62.5</v>
      </c>
      <c r="D64">
        <f>$G$5*(1+$G$6)^-(B64-30)</f>
        <v/>
      </c>
    </row>
    <row r="65">
      <c r="A65" t="n">
        <v>64</v>
      </c>
      <c r="B65" t="n">
        <v>63.5</v>
      </c>
      <c r="D65">
        <f>$G$5*(1+$G$6)^-(B65-30)</f>
        <v/>
      </c>
    </row>
    <row r="66">
      <c r="A66" t="n">
        <v>65</v>
      </c>
      <c r="B66" t="n">
        <v>64.5</v>
      </c>
      <c r="D66">
        <f>$G$5*(1+$G$6)^-(B66-30)</f>
        <v/>
      </c>
    </row>
    <row r="67">
      <c r="A67" t="n">
        <v>66</v>
      </c>
      <c r="B67" t="n">
        <v>65.5</v>
      </c>
      <c r="D67">
        <f>$G$5*(1+$G$6)^-(B67-30)</f>
        <v/>
      </c>
    </row>
    <row r="68">
      <c r="A68" t="n">
        <v>67</v>
      </c>
      <c r="B68" t="n">
        <v>66.5</v>
      </c>
      <c r="D68">
        <f>$G$5*(1+$G$6)^-(B68-30)</f>
        <v/>
      </c>
    </row>
    <row r="69">
      <c r="A69" t="n">
        <v>68</v>
      </c>
      <c r="B69" t="n">
        <v>67.5</v>
      </c>
      <c r="D69">
        <f>$G$5*(1+$G$6)^-(B69-30)</f>
        <v/>
      </c>
    </row>
    <row r="70">
      <c r="A70" t="n">
        <v>69</v>
      </c>
      <c r="B70" t="n">
        <v>68.5</v>
      </c>
      <c r="D70">
        <f>$G$5*(1+$G$6)^-(B70-30)</f>
        <v/>
      </c>
    </row>
    <row r="71">
      <c r="A71" t="n">
        <v>70</v>
      </c>
      <c r="B71" t="n">
        <v>69.5</v>
      </c>
      <c r="D71">
        <f>$G$5*(1+$G$6)^-(B71-30)</f>
        <v/>
      </c>
    </row>
    <row r="72">
      <c r="A72" t="n">
        <v>71</v>
      </c>
      <c r="B72" t="n">
        <v>70.5</v>
      </c>
      <c r="D72">
        <f>$G$5*(1+$G$6)^-(B72-30)</f>
        <v/>
      </c>
    </row>
    <row r="73">
      <c r="A73" t="n">
        <v>72</v>
      </c>
      <c r="B73" t="n">
        <v>71.5</v>
      </c>
      <c r="D73">
        <f>$G$5*(1+$G$6)^-(B73-30)</f>
        <v/>
      </c>
    </row>
    <row r="74">
      <c r="A74" t="n">
        <v>73</v>
      </c>
      <c r="B74" t="n">
        <v>72.5</v>
      </c>
      <c r="D74">
        <f>$G$5*(1+$G$6)^-(B74-30)</f>
        <v/>
      </c>
    </row>
    <row r="75">
      <c r="A75" t="n">
        <v>74</v>
      </c>
      <c r="B75" t="n">
        <v>73.5</v>
      </c>
      <c r="D75">
        <f>$G$5*(1+$G$6)^-(B75-30)</f>
        <v/>
      </c>
    </row>
    <row r="76">
      <c r="A76" t="n">
        <v>75</v>
      </c>
      <c r="B76" t="n">
        <v>74.5</v>
      </c>
      <c r="D76">
        <f>$G$5*(1+$G$6)^-(B76-30)</f>
        <v/>
      </c>
    </row>
    <row r="77">
      <c r="A77" t="n">
        <v>76</v>
      </c>
      <c r="B77" t="n">
        <v>75.5</v>
      </c>
      <c r="D77">
        <f>$G$5*(1+$G$6)^-(B77-30)</f>
        <v/>
      </c>
    </row>
    <row r="78">
      <c r="A78" t="n">
        <v>77</v>
      </c>
      <c r="B78" t="n">
        <v>76.5</v>
      </c>
      <c r="D78">
        <f>$G$5*(1+$G$6)^-(B78-30)</f>
        <v/>
      </c>
    </row>
    <row r="79">
      <c r="A79" t="n">
        <v>78</v>
      </c>
      <c r="B79" t="n">
        <v>77.5</v>
      </c>
      <c r="D79">
        <f>$G$5*(1+$G$6)^-(B79-30)</f>
        <v/>
      </c>
    </row>
    <row r="80">
      <c r="A80" t="n">
        <v>79</v>
      </c>
      <c r="B80" t="n">
        <v>78.5</v>
      </c>
      <c r="D80">
        <f>$G$5*(1+$G$6)^-(B80-30)</f>
        <v/>
      </c>
    </row>
    <row r="81">
      <c r="A81" t="n">
        <v>80</v>
      </c>
      <c r="B81" t="n">
        <v>79.5</v>
      </c>
      <c r="D81">
        <f>$G$5*(1+$G$6)^-(B81-30)</f>
        <v/>
      </c>
    </row>
    <row r="82">
      <c r="A82" t="n">
        <v>81</v>
      </c>
      <c r="B82" t="n">
        <v>80.5</v>
      </c>
      <c r="D82">
        <f>$G$5*(1+$G$6)^-(B82-30)</f>
        <v/>
      </c>
    </row>
    <row r="83">
      <c r="A83" t="n">
        <v>82</v>
      </c>
      <c r="B83" t="n">
        <v>81.5</v>
      </c>
      <c r="D83">
        <f>$G$5*(1+$G$6)^-(B83-30)</f>
        <v/>
      </c>
    </row>
    <row r="84">
      <c r="A84" t="n">
        <v>83</v>
      </c>
      <c r="B84" t="n">
        <v>82.5</v>
      </c>
      <c r="D84">
        <f>$G$5*(1+$G$6)^-(B84-30)</f>
        <v/>
      </c>
    </row>
    <row r="85">
      <c r="A85" t="n">
        <v>84</v>
      </c>
      <c r="B85" t="n">
        <v>83.5</v>
      </c>
      <c r="D85">
        <f>$G$5*(1+$G$6)^-(B85-30)</f>
        <v/>
      </c>
    </row>
    <row r="86">
      <c r="A86" t="n">
        <v>85</v>
      </c>
      <c r="B86" t="n">
        <v>84.5</v>
      </c>
      <c r="D86">
        <f>$G$5*(1+$G$6)^-(B86-30)</f>
        <v/>
      </c>
    </row>
    <row r="87">
      <c r="A87" t="n">
        <v>86</v>
      </c>
      <c r="B87" t="n">
        <v>85.5</v>
      </c>
      <c r="D87">
        <f>$G$5*(1+$G$6)^-(B87-30)</f>
        <v/>
      </c>
    </row>
    <row r="88">
      <c r="A88" t="n">
        <v>87</v>
      </c>
      <c r="B88" t="n">
        <v>86.5</v>
      </c>
      <c r="D88">
        <f>$G$5*(1+$G$6)^-(B88-30)</f>
        <v/>
      </c>
    </row>
    <row r="89">
      <c r="A89" t="n">
        <v>88</v>
      </c>
      <c r="B89" t="n">
        <v>87.5</v>
      </c>
      <c r="D89">
        <f>$G$5*(1+$G$6)^-(B89-30)</f>
        <v/>
      </c>
    </row>
    <row r="90">
      <c r="A90" t="n">
        <v>89</v>
      </c>
      <c r="B90" t="n">
        <v>88.5</v>
      </c>
      <c r="D90">
        <f>$G$5*(1+$G$6)^-(B90-30)</f>
        <v/>
      </c>
    </row>
    <row r="91">
      <c r="A91" t="n">
        <v>90</v>
      </c>
      <c r="B91" t="n">
        <v>89.5</v>
      </c>
      <c r="D91">
        <f>$G$5*(1+$G$6)^-(B91-30)</f>
        <v/>
      </c>
    </row>
    <row r="92">
      <c r="A92" t="n">
        <v>91</v>
      </c>
      <c r="B92" t="n">
        <v>90.5</v>
      </c>
      <c r="D92">
        <f>$G$5*(1+$G$6)^-(B92-30)</f>
        <v/>
      </c>
    </row>
    <row r="93">
      <c r="A93" t="n">
        <v>92</v>
      </c>
      <c r="B93" t="n">
        <v>91.5</v>
      </c>
      <c r="D93">
        <f>$G$5*(1+$G$6)^-(B93-30)</f>
        <v/>
      </c>
    </row>
    <row r="94">
      <c r="A94" t="n">
        <v>93</v>
      </c>
      <c r="B94" t="n">
        <v>92.5</v>
      </c>
      <c r="D94">
        <f>$G$5*(1+$G$6)^-(B94-30)</f>
        <v/>
      </c>
    </row>
    <row r="95">
      <c r="A95" t="n">
        <v>94</v>
      </c>
      <c r="B95" t="n">
        <v>93.5</v>
      </c>
      <c r="D95">
        <f>$G$5*(1+$G$6)^-(B95-30)</f>
        <v/>
      </c>
    </row>
    <row r="96">
      <c r="A96" t="n">
        <v>95</v>
      </c>
      <c r="B96" t="n">
        <v>94.5</v>
      </c>
      <c r="D96">
        <f>$G$5*(1+$G$6)^-(B96-30)</f>
        <v/>
      </c>
    </row>
    <row r="97">
      <c r="A97" t="n">
        <v>96</v>
      </c>
      <c r="B97" t="n">
        <v>95.5</v>
      </c>
      <c r="D97">
        <f>$G$5*(1+$G$6)^-(B97-30)</f>
        <v/>
      </c>
    </row>
    <row r="98">
      <c r="A98" t="n">
        <v>97</v>
      </c>
      <c r="B98" t="n">
        <v>96.5</v>
      </c>
      <c r="D98">
        <f>$G$5*(1+$G$6)^-(B98-30)</f>
        <v/>
      </c>
    </row>
    <row r="99">
      <c r="A99" t="n">
        <v>98</v>
      </c>
      <c r="B99" t="n">
        <v>97.5</v>
      </c>
      <c r="D99">
        <f>$G$5*(1+$G$6)^-(B99-30)</f>
        <v/>
      </c>
    </row>
    <row r="100">
      <c r="A100" t="n">
        <v>99</v>
      </c>
      <c r="B100" t="n">
        <v>98.5</v>
      </c>
      <c r="D100">
        <f>$G$5*(1+$G$6)^-(B100-30)</f>
        <v/>
      </c>
    </row>
    <row r="101">
      <c r="A101" t="n">
        <v>100</v>
      </c>
      <c r="B101" t="n">
        <v>99.5</v>
      </c>
      <c r="D101">
        <f>$G$5*(1+$G$6)^-(B101-30)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Pensioner: P x increases x average survival, paid mid-year</t>
        </is>
      </c>
    </row>
    <row r="3">
      <c r="A3" t="inlineStr">
        <is>
          <t>member_id</t>
        </is>
      </c>
      <c r="B3" s="2" t="inlineStr">
        <is>
          <t>M0017</t>
        </is>
      </c>
      <c r="D3" t="inlineStr">
        <is>
          <t>PV (flat rate)</t>
        </is>
      </c>
      <c r="E3">
        <f>SUM(J19:J118)</f>
        <v/>
      </c>
    </row>
    <row r="4">
      <c r="A4" t="inlineStr">
        <is>
          <t>sex</t>
        </is>
      </c>
      <c r="B4" s="2" t="inlineStr">
        <is>
          <t>M</t>
        </is>
      </c>
      <c r="D4" t="inlineStr">
        <is>
          <t>PV (IAS 19 curve)</t>
        </is>
      </c>
      <c r="E4">
        <f>SUM(K19:K118)</f>
        <v/>
      </c>
    </row>
    <row r="5">
      <c r="A5" t="inlineStr">
        <is>
          <t>age x (nearest, at valuation)</t>
        </is>
      </c>
      <c r="B5" s="2" t="n">
        <v>72</v>
      </c>
    </row>
    <row r="6">
      <c r="A6" t="inlineStr">
        <is>
          <t>T (years to 65)</t>
        </is>
      </c>
      <c r="B6" s="2" t="n">
        <v>0</v>
      </c>
    </row>
    <row r="7">
      <c r="A7" t="inlineStr">
        <is>
          <t>pension in payment (2025)</t>
        </is>
      </c>
      <c r="B7" s="2" t="n">
        <v>20331.03</v>
      </c>
    </row>
    <row r="17">
      <c r="A17" s="3" t="inlineStr">
        <is>
          <t>t</t>
        </is>
      </c>
      <c r="B17" s="3" t="inlineStr">
        <is>
          <t>year</t>
        </is>
      </c>
      <c r="C17" s="3" t="inlineStr">
        <is>
          <t>age</t>
        </is>
      </c>
      <c r="D17" s="3" t="inlineStr">
        <is>
          <t>q</t>
        </is>
      </c>
      <c r="E17" s="3" t="inlineStr">
        <is>
          <t>survival</t>
        </is>
      </c>
      <c r="F17" s="3" t="inlineStr">
        <is>
          <t>avg survival</t>
        </is>
      </c>
      <c r="G17" s="3" t="inlineStr">
        <is>
          <t>pension index</t>
        </is>
      </c>
      <c r="H17" s="3" t="inlineStr">
        <is>
          <t>cash flow</t>
        </is>
      </c>
      <c r="I17" s="3" t="inlineStr">
        <is>
          <t>DF 1</t>
        </is>
      </c>
      <c r="J17" s="3" t="inlineStr">
        <is>
          <t>PV 1</t>
        </is>
      </c>
      <c r="K17" s="3" t="inlineStr">
        <is>
          <t>PV 2</t>
        </is>
      </c>
    </row>
    <row r="18">
      <c r="A18" t="n">
        <v>0</v>
      </c>
      <c r="E18" t="n">
        <v>1</v>
      </c>
      <c r="G18" t="n">
        <v>1</v>
      </c>
    </row>
    <row r="19">
      <c r="A19" t="n">
        <v>1</v>
      </c>
      <c r="B19">
        <f>Inputs_IAS19!$C$2+A19</f>
        <v/>
      </c>
      <c r="C19">
        <f>$B$5+A19-1</f>
        <v/>
      </c>
      <c r="D19">
        <f>IF(C19&gt;=120,1,MIN(1,IF(A19&lt;=$B$6,IF($B$4="M",Inputs_IAS19!$C$13,Inputs_IAS19!$C$14),IF($B$4="M",Inputs_IAS19!$C$15,Inputs_IAS19!$C$16))*INDEX(ILT!$B$2:$C$122,MIN(C19,120)+1,IF($B$4="M",1,2))*(1-Inputs_IAS19!$C$17)^MAX(B19-Inputs_IAS19!$C$18,0)))</f>
        <v/>
      </c>
      <c r="E19">
        <f>E18*(1-D19)</f>
        <v/>
      </c>
      <c r="F19">
        <f>(E18+E19)/2</f>
        <v/>
      </c>
      <c r="G19">
        <f>G18*(1+IF(B19=Inputs_IAS19!$C$7,Inputs_IAS19!$C$8,Inputs_IAS19!$C$6))</f>
        <v/>
      </c>
      <c r="H19">
        <f>$B$7*G19*F19</f>
        <v/>
      </c>
      <c r="I19">
        <f>(1+Inputs_IAS19!$C$26)^-(A19-0.5)</f>
        <v/>
      </c>
      <c r="J19">
        <f>H19*I19</f>
        <v/>
      </c>
      <c r="K19">
        <f>H19*INDEX(Curve_IAS19!$D$2:$D$101,A19)</f>
        <v/>
      </c>
    </row>
    <row r="20">
      <c r="A20" t="n">
        <v>2</v>
      </c>
      <c r="B20">
        <f>Inputs_IAS19!$C$2+A20</f>
        <v/>
      </c>
      <c r="C20">
        <f>$B$5+A20-1</f>
        <v/>
      </c>
      <c r="D20">
        <f>IF(C20&gt;=120,1,MIN(1,IF(A20&lt;=$B$6,IF($B$4="M",Inputs_IAS19!$C$13,Inputs_IAS19!$C$14),IF($B$4="M",Inputs_IAS19!$C$15,Inputs_IAS19!$C$16))*INDEX(ILT!$B$2:$C$122,MIN(C20,120)+1,IF($B$4="M",1,2))*(1-Inputs_IAS19!$C$17)^MAX(B20-Inputs_IAS19!$C$18,0)))</f>
        <v/>
      </c>
      <c r="E20">
        <f>E19*(1-D20)</f>
        <v/>
      </c>
      <c r="F20">
        <f>(E19+E20)/2</f>
        <v/>
      </c>
      <c r="G20">
        <f>G19*(1+IF(B20=Inputs_IAS19!$C$7,Inputs_IAS19!$C$8,Inputs_IAS19!$C$6))</f>
        <v/>
      </c>
      <c r="H20">
        <f>$B$7*G20*F20</f>
        <v/>
      </c>
      <c r="I20">
        <f>(1+Inputs_IAS19!$C$26)^-(A20-0.5)</f>
        <v/>
      </c>
      <c r="J20">
        <f>H20*I20</f>
        <v/>
      </c>
      <c r="K20">
        <f>H20*INDEX(Curve_IAS19!$D$2:$D$101,A20)</f>
        <v/>
      </c>
    </row>
    <row r="21">
      <c r="A21" t="n">
        <v>3</v>
      </c>
      <c r="B21">
        <f>Inputs_IAS19!$C$2+A21</f>
        <v/>
      </c>
      <c r="C21">
        <f>$B$5+A21-1</f>
        <v/>
      </c>
      <c r="D21">
        <f>IF(C21&gt;=120,1,MIN(1,IF(A21&lt;=$B$6,IF($B$4="M",Inputs_IAS19!$C$13,Inputs_IAS19!$C$14),IF($B$4="M",Inputs_IAS19!$C$15,Inputs_IAS19!$C$16))*INDEX(ILT!$B$2:$C$122,MIN(C21,120)+1,IF($B$4="M",1,2))*(1-Inputs_IAS19!$C$17)^MAX(B21-Inputs_IAS19!$C$18,0)))</f>
        <v/>
      </c>
      <c r="E21">
        <f>E20*(1-D21)</f>
        <v/>
      </c>
      <c r="F21">
        <f>(E20+E21)/2</f>
        <v/>
      </c>
      <c r="G21">
        <f>G20*(1+IF(B21=Inputs_IAS19!$C$7,Inputs_IAS19!$C$8,Inputs_IAS19!$C$6))</f>
        <v/>
      </c>
      <c r="H21">
        <f>$B$7*G21*F21</f>
        <v/>
      </c>
      <c r="I21">
        <f>(1+Inputs_IAS19!$C$26)^-(A21-0.5)</f>
        <v/>
      </c>
      <c r="J21">
        <f>H21*I21</f>
        <v/>
      </c>
      <c r="K21">
        <f>H21*INDEX(Curve_IAS19!$D$2:$D$101,A21)</f>
        <v/>
      </c>
    </row>
    <row r="22">
      <c r="A22" t="n">
        <v>4</v>
      </c>
      <c r="B22">
        <f>Inputs_IAS19!$C$2+A22</f>
        <v/>
      </c>
      <c r="C22">
        <f>$B$5+A22-1</f>
        <v/>
      </c>
      <c r="D22">
        <f>IF(C22&gt;=120,1,MIN(1,IF(A22&lt;=$B$6,IF($B$4="M",Inputs_IAS19!$C$13,Inputs_IAS19!$C$14),IF($B$4="M",Inputs_IAS19!$C$15,Inputs_IAS19!$C$16))*INDEX(ILT!$B$2:$C$122,MIN(C22,120)+1,IF($B$4="M",1,2))*(1-Inputs_IAS19!$C$17)^MAX(B22-Inputs_IAS19!$C$18,0)))</f>
        <v/>
      </c>
      <c r="E22">
        <f>E21*(1-D22)</f>
        <v/>
      </c>
      <c r="F22">
        <f>(E21+E22)/2</f>
        <v/>
      </c>
      <c r="G22">
        <f>G21*(1+IF(B22=Inputs_IAS19!$C$7,Inputs_IAS19!$C$8,Inputs_IAS19!$C$6))</f>
        <v/>
      </c>
      <c r="H22">
        <f>$B$7*G22*F22</f>
        <v/>
      </c>
      <c r="I22">
        <f>(1+Inputs_IAS19!$C$26)^-(A22-0.5)</f>
        <v/>
      </c>
      <c r="J22">
        <f>H22*I22</f>
        <v/>
      </c>
      <c r="K22">
        <f>H22*INDEX(Curve_IAS19!$D$2:$D$101,A22)</f>
        <v/>
      </c>
    </row>
    <row r="23">
      <c r="A23" t="n">
        <v>5</v>
      </c>
      <c r="B23">
        <f>Inputs_IAS19!$C$2+A23</f>
        <v/>
      </c>
      <c r="C23">
        <f>$B$5+A23-1</f>
        <v/>
      </c>
      <c r="D23">
        <f>IF(C23&gt;=120,1,MIN(1,IF(A23&lt;=$B$6,IF($B$4="M",Inputs_IAS19!$C$13,Inputs_IAS19!$C$14),IF($B$4="M",Inputs_IAS19!$C$15,Inputs_IAS19!$C$16))*INDEX(ILT!$B$2:$C$122,MIN(C23,120)+1,IF($B$4="M",1,2))*(1-Inputs_IAS19!$C$17)^MAX(B23-Inputs_IAS19!$C$18,0)))</f>
        <v/>
      </c>
      <c r="E23">
        <f>E22*(1-D23)</f>
        <v/>
      </c>
      <c r="F23">
        <f>(E22+E23)/2</f>
        <v/>
      </c>
      <c r="G23">
        <f>G22*(1+IF(B23=Inputs_IAS19!$C$7,Inputs_IAS19!$C$8,Inputs_IAS19!$C$6))</f>
        <v/>
      </c>
      <c r="H23">
        <f>$B$7*G23*F23</f>
        <v/>
      </c>
      <c r="I23">
        <f>(1+Inputs_IAS19!$C$26)^-(A23-0.5)</f>
        <v/>
      </c>
      <c r="J23">
        <f>H23*I23</f>
        <v/>
      </c>
      <c r="K23">
        <f>H23*INDEX(Curve_IAS19!$D$2:$D$101,A23)</f>
        <v/>
      </c>
    </row>
    <row r="24">
      <c r="A24" t="n">
        <v>6</v>
      </c>
      <c r="B24">
        <f>Inputs_IAS19!$C$2+A24</f>
        <v/>
      </c>
      <c r="C24">
        <f>$B$5+A24-1</f>
        <v/>
      </c>
      <c r="D24">
        <f>IF(C24&gt;=120,1,MIN(1,IF(A24&lt;=$B$6,IF($B$4="M",Inputs_IAS19!$C$13,Inputs_IAS19!$C$14),IF($B$4="M",Inputs_IAS19!$C$15,Inputs_IAS19!$C$16))*INDEX(ILT!$B$2:$C$122,MIN(C24,120)+1,IF($B$4="M",1,2))*(1-Inputs_IAS19!$C$17)^MAX(B24-Inputs_IAS19!$C$18,0)))</f>
        <v/>
      </c>
      <c r="E24">
        <f>E23*(1-D24)</f>
        <v/>
      </c>
      <c r="F24">
        <f>(E23+E24)/2</f>
        <v/>
      </c>
      <c r="G24">
        <f>G23*(1+IF(B24=Inputs_IAS19!$C$7,Inputs_IAS19!$C$8,Inputs_IAS19!$C$6))</f>
        <v/>
      </c>
      <c r="H24">
        <f>$B$7*G24*F24</f>
        <v/>
      </c>
      <c r="I24">
        <f>(1+Inputs_IAS19!$C$26)^-(A24-0.5)</f>
        <v/>
      </c>
      <c r="J24">
        <f>H24*I24</f>
        <v/>
      </c>
      <c r="K24">
        <f>H24*INDEX(Curve_IAS19!$D$2:$D$101,A24)</f>
        <v/>
      </c>
    </row>
    <row r="25">
      <c r="A25" t="n">
        <v>7</v>
      </c>
      <c r="B25">
        <f>Inputs_IAS19!$C$2+A25</f>
        <v/>
      </c>
      <c r="C25">
        <f>$B$5+A25-1</f>
        <v/>
      </c>
      <c r="D25">
        <f>IF(C25&gt;=120,1,MIN(1,IF(A25&lt;=$B$6,IF($B$4="M",Inputs_IAS19!$C$13,Inputs_IAS19!$C$14),IF($B$4="M",Inputs_IAS19!$C$15,Inputs_IAS19!$C$16))*INDEX(ILT!$B$2:$C$122,MIN(C25,120)+1,IF($B$4="M",1,2))*(1-Inputs_IAS19!$C$17)^MAX(B25-Inputs_IAS19!$C$18,0)))</f>
        <v/>
      </c>
      <c r="E25">
        <f>E24*(1-D25)</f>
        <v/>
      </c>
      <c r="F25">
        <f>(E24+E25)/2</f>
        <v/>
      </c>
      <c r="G25">
        <f>G24*(1+IF(B25=Inputs_IAS19!$C$7,Inputs_IAS19!$C$8,Inputs_IAS19!$C$6))</f>
        <v/>
      </c>
      <c r="H25">
        <f>$B$7*G25*F25</f>
        <v/>
      </c>
      <c r="I25">
        <f>(1+Inputs_IAS19!$C$26)^-(A25-0.5)</f>
        <v/>
      </c>
      <c r="J25">
        <f>H25*I25</f>
        <v/>
      </c>
      <c r="K25">
        <f>H25*INDEX(Curve_IAS19!$D$2:$D$101,A25)</f>
        <v/>
      </c>
    </row>
    <row r="26">
      <c r="A26" t="n">
        <v>8</v>
      </c>
      <c r="B26">
        <f>Inputs_IAS19!$C$2+A26</f>
        <v/>
      </c>
      <c r="C26">
        <f>$B$5+A26-1</f>
        <v/>
      </c>
      <c r="D26">
        <f>IF(C26&gt;=120,1,MIN(1,IF(A26&lt;=$B$6,IF($B$4="M",Inputs_IAS19!$C$13,Inputs_IAS19!$C$14),IF($B$4="M",Inputs_IAS19!$C$15,Inputs_IAS19!$C$16))*INDEX(ILT!$B$2:$C$122,MIN(C26,120)+1,IF($B$4="M",1,2))*(1-Inputs_IAS19!$C$17)^MAX(B26-Inputs_IAS19!$C$18,0)))</f>
        <v/>
      </c>
      <c r="E26">
        <f>E25*(1-D26)</f>
        <v/>
      </c>
      <c r="F26">
        <f>(E25+E26)/2</f>
        <v/>
      </c>
      <c r="G26">
        <f>G25*(1+IF(B26=Inputs_IAS19!$C$7,Inputs_IAS19!$C$8,Inputs_IAS19!$C$6))</f>
        <v/>
      </c>
      <c r="H26">
        <f>$B$7*G26*F26</f>
        <v/>
      </c>
      <c r="I26">
        <f>(1+Inputs_IAS19!$C$26)^-(A26-0.5)</f>
        <v/>
      </c>
      <c r="J26">
        <f>H26*I26</f>
        <v/>
      </c>
      <c r="K26">
        <f>H26*INDEX(Curve_IAS19!$D$2:$D$101,A26)</f>
        <v/>
      </c>
    </row>
    <row r="27">
      <c r="A27" t="n">
        <v>9</v>
      </c>
      <c r="B27">
        <f>Inputs_IAS19!$C$2+A27</f>
        <v/>
      </c>
      <c r="C27">
        <f>$B$5+A27-1</f>
        <v/>
      </c>
      <c r="D27">
        <f>IF(C27&gt;=120,1,MIN(1,IF(A27&lt;=$B$6,IF($B$4="M",Inputs_IAS19!$C$13,Inputs_IAS19!$C$14),IF($B$4="M",Inputs_IAS19!$C$15,Inputs_IAS19!$C$16))*INDEX(ILT!$B$2:$C$122,MIN(C27,120)+1,IF($B$4="M",1,2))*(1-Inputs_IAS19!$C$17)^MAX(B27-Inputs_IAS19!$C$18,0)))</f>
        <v/>
      </c>
      <c r="E27">
        <f>E26*(1-D27)</f>
        <v/>
      </c>
      <c r="F27">
        <f>(E26+E27)/2</f>
        <v/>
      </c>
      <c r="G27">
        <f>G26*(1+IF(B27=Inputs_IAS19!$C$7,Inputs_IAS19!$C$8,Inputs_IAS19!$C$6))</f>
        <v/>
      </c>
      <c r="H27">
        <f>$B$7*G27*F27</f>
        <v/>
      </c>
      <c r="I27">
        <f>(1+Inputs_IAS19!$C$26)^-(A27-0.5)</f>
        <v/>
      </c>
      <c r="J27">
        <f>H27*I27</f>
        <v/>
      </c>
      <c r="K27">
        <f>H27*INDEX(Curve_IAS19!$D$2:$D$101,A27)</f>
        <v/>
      </c>
    </row>
    <row r="28">
      <c r="A28" t="n">
        <v>10</v>
      </c>
      <c r="B28">
        <f>Inputs_IAS19!$C$2+A28</f>
        <v/>
      </c>
      <c r="C28">
        <f>$B$5+A28-1</f>
        <v/>
      </c>
      <c r="D28">
        <f>IF(C28&gt;=120,1,MIN(1,IF(A28&lt;=$B$6,IF($B$4="M",Inputs_IAS19!$C$13,Inputs_IAS19!$C$14),IF($B$4="M",Inputs_IAS19!$C$15,Inputs_IAS19!$C$16))*INDEX(ILT!$B$2:$C$122,MIN(C28,120)+1,IF($B$4="M",1,2))*(1-Inputs_IAS19!$C$17)^MAX(B28-Inputs_IAS19!$C$18,0)))</f>
        <v/>
      </c>
      <c r="E28">
        <f>E27*(1-D28)</f>
        <v/>
      </c>
      <c r="F28">
        <f>(E27+E28)/2</f>
        <v/>
      </c>
      <c r="G28">
        <f>G27*(1+IF(B28=Inputs_IAS19!$C$7,Inputs_IAS19!$C$8,Inputs_IAS19!$C$6))</f>
        <v/>
      </c>
      <c r="H28">
        <f>$B$7*G28*F28</f>
        <v/>
      </c>
      <c r="I28">
        <f>(1+Inputs_IAS19!$C$26)^-(A28-0.5)</f>
        <v/>
      </c>
      <c r="J28">
        <f>H28*I28</f>
        <v/>
      </c>
      <c r="K28">
        <f>H28*INDEX(Curve_IAS19!$D$2:$D$101,A28)</f>
        <v/>
      </c>
    </row>
    <row r="29">
      <c r="A29" t="n">
        <v>11</v>
      </c>
      <c r="B29">
        <f>Inputs_IAS19!$C$2+A29</f>
        <v/>
      </c>
      <c r="C29">
        <f>$B$5+A29-1</f>
        <v/>
      </c>
      <c r="D29">
        <f>IF(C29&gt;=120,1,MIN(1,IF(A29&lt;=$B$6,IF($B$4="M",Inputs_IAS19!$C$13,Inputs_IAS19!$C$14),IF($B$4="M",Inputs_IAS19!$C$15,Inputs_IAS19!$C$16))*INDEX(ILT!$B$2:$C$122,MIN(C29,120)+1,IF($B$4="M",1,2))*(1-Inputs_IAS19!$C$17)^MAX(B29-Inputs_IAS19!$C$18,0)))</f>
        <v/>
      </c>
      <c r="E29">
        <f>E28*(1-D29)</f>
        <v/>
      </c>
      <c r="F29">
        <f>(E28+E29)/2</f>
        <v/>
      </c>
      <c r="G29">
        <f>G28*(1+IF(B29=Inputs_IAS19!$C$7,Inputs_IAS19!$C$8,Inputs_IAS19!$C$6))</f>
        <v/>
      </c>
      <c r="H29">
        <f>$B$7*G29*F29</f>
        <v/>
      </c>
      <c r="I29">
        <f>(1+Inputs_IAS19!$C$26)^-(A29-0.5)</f>
        <v/>
      </c>
      <c r="J29">
        <f>H29*I29</f>
        <v/>
      </c>
      <c r="K29">
        <f>H29*INDEX(Curve_IAS19!$D$2:$D$101,A29)</f>
        <v/>
      </c>
    </row>
    <row r="30">
      <c r="A30" t="n">
        <v>12</v>
      </c>
      <c r="B30">
        <f>Inputs_IAS19!$C$2+A30</f>
        <v/>
      </c>
      <c r="C30">
        <f>$B$5+A30-1</f>
        <v/>
      </c>
      <c r="D30">
        <f>IF(C30&gt;=120,1,MIN(1,IF(A30&lt;=$B$6,IF($B$4="M",Inputs_IAS19!$C$13,Inputs_IAS19!$C$14),IF($B$4="M",Inputs_IAS19!$C$15,Inputs_IAS19!$C$16))*INDEX(ILT!$B$2:$C$122,MIN(C30,120)+1,IF($B$4="M",1,2))*(1-Inputs_IAS19!$C$17)^MAX(B30-Inputs_IAS19!$C$18,0)))</f>
        <v/>
      </c>
      <c r="E30">
        <f>E29*(1-D30)</f>
        <v/>
      </c>
      <c r="F30">
        <f>(E29+E30)/2</f>
        <v/>
      </c>
      <c r="G30">
        <f>G29*(1+IF(B30=Inputs_IAS19!$C$7,Inputs_IAS19!$C$8,Inputs_IAS19!$C$6))</f>
        <v/>
      </c>
      <c r="H30">
        <f>$B$7*G30*F30</f>
        <v/>
      </c>
      <c r="I30">
        <f>(1+Inputs_IAS19!$C$26)^-(A30-0.5)</f>
        <v/>
      </c>
      <c r="J30">
        <f>H30*I30</f>
        <v/>
      </c>
      <c r="K30">
        <f>H30*INDEX(Curve_IAS19!$D$2:$D$101,A30)</f>
        <v/>
      </c>
    </row>
    <row r="31">
      <c r="A31" t="n">
        <v>13</v>
      </c>
      <c r="B31">
        <f>Inputs_IAS19!$C$2+A31</f>
        <v/>
      </c>
      <c r="C31">
        <f>$B$5+A31-1</f>
        <v/>
      </c>
      <c r="D31">
        <f>IF(C31&gt;=120,1,MIN(1,IF(A31&lt;=$B$6,IF($B$4="M",Inputs_IAS19!$C$13,Inputs_IAS19!$C$14),IF($B$4="M",Inputs_IAS19!$C$15,Inputs_IAS19!$C$16))*INDEX(ILT!$B$2:$C$122,MIN(C31,120)+1,IF($B$4="M",1,2))*(1-Inputs_IAS19!$C$17)^MAX(B31-Inputs_IAS19!$C$18,0)))</f>
        <v/>
      </c>
      <c r="E31">
        <f>E30*(1-D31)</f>
        <v/>
      </c>
      <c r="F31">
        <f>(E30+E31)/2</f>
        <v/>
      </c>
      <c r="G31">
        <f>G30*(1+IF(B31=Inputs_IAS19!$C$7,Inputs_IAS19!$C$8,Inputs_IAS19!$C$6))</f>
        <v/>
      </c>
      <c r="H31">
        <f>$B$7*G31*F31</f>
        <v/>
      </c>
      <c r="I31">
        <f>(1+Inputs_IAS19!$C$26)^-(A31-0.5)</f>
        <v/>
      </c>
      <c r="J31">
        <f>H31*I31</f>
        <v/>
      </c>
      <c r="K31">
        <f>H31*INDEX(Curve_IAS19!$D$2:$D$101,A31)</f>
        <v/>
      </c>
    </row>
    <row r="32">
      <c r="A32" t="n">
        <v>14</v>
      </c>
      <c r="B32">
        <f>Inputs_IAS19!$C$2+A32</f>
        <v/>
      </c>
      <c r="C32">
        <f>$B$5+A32-1</f>
        <v/>
      </c>
      <c r="D32">
        <f>IF(C32&gt;=120,1,MIN(1,IF(A32&lt;=$B$6,IF($B$4="M",Inputs_IAS19!$C$13,Inputs_IAS19!$C$14),IF($B$4="M",Inputs_IAS19!$C$15,Inputs_IAS19!$C$16))*INDEX(ILT!$B$2:$C$122,MIN(C32,120)+1,IF($B$4="M",1,2))*(1-Inputs_IAS19!$C$17)^MAX(B32-Inputs_IAS19!$C$18,0)))</f>
        <v/>
      </c>
      <c r="E32">
        <f>E31*(1-D32)</f>
        <v/>
      </c>
      <c r="F32">
        <f>(E31+E32)/2</f>
        <v/>
      </c>
      <c r="G32">
        <f>G31*(1+IF(B32=Inputs_IAS19!$C$7,Inputs_IAS19!$C$8,Inputs_IAS19!$C$6))</f>
        <v/>
      </c>
      <c r="H32">
        <f>$B$7*G32*F32</f>
        <v/>
      </c>
      <c r="I32">
        <f>(1+Inputs_IAS19!$C$26)^-(A32-0.5)</f>
        <v/>
      </c>
      <c r="J32">
        <f>H32*I32</f>
        <v/>
      </c>
      <c r="K32">
        <f>H32*INDEX(Curve_IAS19!$D$2:$D$101,A32)</f>
        <v/>
      </c>
    </row>
    <row r="33">
      <c r="A33" t="n">
        <v>15</v>
      </c>
      <c r="B33">
        <f>Inputs_IAS19!$C$2+A33</f>
        <v/>
      </c>
      <c r="C33">
        <f>$B$5+A33-1</f>
        <v/>
      </c>
      <c r="D33">
        <f>IF(C33&gt;=120,1,MIN(1,IF(A33&lt;=$B$6,IF($B$4="M",Inputs_IAS19!$C$13,Inputs_IAS19!$C$14),IF($B$4="M",Inputs_IAS19!$C$15,Inputs_IAS19!$C$16))*INDEX(ILT!$B$2:$C$122,MIN(C33,120)+1,IF($B$4="M",1,2))*(1-Inputs_IAS19!$C$17)^MAX(B33-Inputs_IAS19!$C$18,0)))</f>
        <v/>
      </c>
      <c r="E33">
        <f>E32*(1-D33)</f>
        <v/>
      </c>
      <c r="F33">
        <f>(E32+E33)/2</f>
        <v/>
      </c>
      <c r="G33">
        <f>G32*(1+IF(B33=Inputs_IAS19!$C$7,Inputs_IAS19!$C$8,Inputs_IAS19!$C$6))</f>
        <v/>
      </c>
      <c r="H33">
        <f>$B$7*G33*F33</f>
        <v/>
      </c>
      <c r="I33">
        <f>(1+Inputs_IAS19!$C$26)^-(A33-0.5)</f>
        <v/>
      </c>
      <c r="J33">
        <f>H33*I33</f>
        <v/>
      </c>
      <c r="K33">
        <f>H33*INDEX(Curve_IAS19!$D$2:$D$101,A33)</f>
        <v/>
      </c>
    </row>
    <row r="34">
      <c r="A34" t="n">
        <v>16</v>
      </c>
      <c r="B34">
        <f>Inputs_IAS19!$C$2+A34</f>
        <v/>
      </c>
      <c r="C34">
        <f>$B$5+A34-1</f>
        <v/>
      </c>
      <c r="D34">
        <f>IF(C34&gt;=120,1,MIN(1,IF(A34&lt;=$B$6,IF($B$4="M",Inputs_IAS19!$C$13,Inputs_IAS19!$C$14),IF($B$4="M",Inputs_IAS19!$C$15,Inputs_IAS19!$C$16))*INDEX(ILT!$B$2:$C$122,MIN(C34,120)+1,IF($B$4="M",1,2))*(1-Inputs_IAS19!$C$17)^MAX(B34-Inputs_IAS19!$C$18,0)))</f>
        <v/>
      </c>
      <c r="E34">
        <f>E33*(1-D34)</f>
        <v/>
      </c>
      <c r="F34">
        <f>(E33+E34)/2</f>
        <v/>
      </c>
      <c r="G34">
        <f>G33*(1+IF(B34=Inputs_IAS19!$C$7,Inputs_IAS19!$C$8,Inputs_IAS19!$C$6))</f>
        <v/>
      </c>
      <c r="H34">
        <f>$B$7*G34*F34</f>
        <v/>
      </c>
      <c r="I34">
        <f>(1+Inputs_IAS19!$C$26)^-(A34-0.5)</f>
        <v/>
      </c>
      <c r="J34">
        <f>H34*I34</f>
        <v/>
      </c>
      <c r="K34">
        <f>H34*INDEX(Curve_IAS19!$D$2:$D$101,A34)</f>
        <v/>
      </c>
    </row>
    <row r="35">
      <c r="A35" t="n">
        <v>17</v>
      </c>
      <c r="B35">
        <f>Inputs_IAS19!$C$2+A35</f>
        <v/>
      </c>
      <c r="C35">
        <f>$B$5+A35-1</f>
        <v/>
      </c>
      <c r="D35">
        <f>IF(C35&gt;=120,1,MIN(1,IF(A35&lt;=$B$6,IF($B$4="M",Inputs_IAS19!$C$13,Inputs_IAS19!$C$14),IF($B$4="M",Inputs_IAS19!$C$15,Inputs_IAS19!$C$16))*INDEX(ILT!$B$2:$C$122,MIN(C35,120)+1,IF($B$4="M",1,2))*(1-Inputs_IAS19!$C$17)^MAX(B35-Inputs_IAS19!$C$18,0)))</f>
        <v/>
      </c>
      <c r="E35">
        <f>E34*(1-D35)</f>
        <v/>
      </c>
      <c r="F35">
        <f>(E34+E35)/2</f>
        <v/>
      </c>
      <c r="G35">
        <f>G34*(1+IF(B35=Inputs_IAS19!$C$7,Inputs_IAS19!$C$8,Inputs_IAS19!$C$6))</f>
        <v/>
      </c>
      <c r="H35">
        <f>$B$7*G35*F35</f>
        <v/>
      </c>
      <c r="I35">
        <f>(1+Inputs_IAS19!$C$26)^-(A35-0.5)</f>
        <v/>
      </c>
      <c r="J35">
        <f>H35*I35</f>
        <v/>
      </c>
      <c r="K35">
        <f>H35*INDEX(Curve_IAS19!$D$2:$D$101,A35)</f>
        <v/>
      </c>
    </row>
    <row r="36">
      <c r="A36" t="n">
        <v>18</v>
      </c>
      <c r="B36">
        <f>Inputs_IAS19!$C$2+A36</f>
        <v/>
      </c>
      <c r="C36">
        <f>$B$5+A36-1</f>
        <v/>
      </c>
      <c r="D36">
        <f>IF(C36&gt;=120,1,MIN(1,IF(A36&lt;=$B$6,IF($B$4="M",Inputs_IAS19!$C$13,Inputs_IAS19!$C$14),IF($B$4="M",Inputs_IAS19!$C$15,Inputs_IAS19!$C$16))*INDEX(ILT!$B$2:$C$122,MIN(C36,120)+1,IF($B$4="M",1,2))*(1-Inputs_IAS19!$C$17)^MAX(B36-Inputs_IAS19!$C$18,0)))</f>
        <v/>
      </c>
      <c r="E36">
        <f>E35*(1-D36)</f>
        <v/>
      </c>
      <c r="F36">
        <f>(E35+E36)/2</f>
        <v/>
      </c>
      <c r="G36">
        <f>G35*(1+IF(B36=Inputs_IAS19!$C$7,Inputs_IAS19!$C$8,Inputs_IAS19!$C$6))</f>
        <v/>
      </c>
      <c r="H36">
        <f>$B$7*G36*F36</f>
        <v/>
      </c>
      <c r="I36">
        <f>(1+Inputs_IAS19!$C$26)^-(A36-0.5)</f>
        <v/>
      </c>
      <c r="J36">
        <f>H36*I36</f>
        <v/>
      </c>
      <c r="K36">
        <f>H36*INDEX(Curve_IAS19!$D$2:$D$101,A36)</f>
        <v/>
      </c>
    </row>
    <row r="37">
      <c r="A37" t="n">
        <v>19</v>
      </c>
      <c r="B37">
        <f>Inputs_IAS19!$C$2+A37</f>
        <v/>
      </c>
      <c r="C37">
        <f>$B$5+A37-1</f>
        <v/>
      </c>
      <c r="D37">
        <f>IF(C37&gt;=120,1,MIN(1,IF(A37&lt;=$B$6,IF($B$4="M",Inputs_IAS19!$C$13,Inputs_IAS19!$C$14),IF($B$4="M",Inputs_IAS19!$C$15,Inputs_IAS19!$C$16))*INDEX(ILT!$B$2:$C$122,MIN(C37,120)+1,IF($B$4="M",1,2))*(1-Inputs_IAS19!$C$17)^MAX(B37-Inputs_IAS19!$C$18,0)))</f>
        <v/>
      </c>
      <c r="E37">
        <f>E36*(1-D37)</f>
        <v/>
      </c>
      <c r="F37">
        <f>(E36+E37)/2</f>
        <v/>
      </c>
      <c r="G37">
        <f>G36*(1+IF(B37=Inputs_IAS19!$C$7,Inputs_IAS19!$C$8,Inputs_IAS19!$C$6))</f>
        <v/>
      </c>
      <c r="H37">
        <f>$B$7*G37*F37</f>
        <v/>
      </c>
      <c r="I37">
        <f>(1+Inputs_IAS19!$C$26)^-(A37-0.5)</f>
        <v/>
      </c>
      <c r="J37">
        <f>H37*I37</f>
        <v/>
      </c>
      <c r="K37">
        <f>H37*INDEX(Curve_IAS19!$D$2:$D$101,A37)</f>
        <v/>
      </c>
    </row>
    <row r="38">
      <c r="A38" t="n">
        <v>20</v>
      </c>
      <c r="B38">
        <f>Inputs_IAS19!$C$2+A38</f>
        <v/>
      </c>
      <c r="C38">
        <f>$B$5+A38-1</f>
        <v/>
      </c>
      <c r="D38">
        <f>IF(C38&gt;=120,1,MIN(1,IF(A38&lt;=$B$6,IF($B$4="M",Inputs_IAS19!$C$13,Inputs_IAS19!$C$14),IF($B$4="M",Inputs_IAS19!$C$15,Inputs_IAS19!$C$16))*INDEX(ILT!$B$2:$C$122,MIN(C38,120)+1,IF($B$4="M",1,2))*(1-Inputs_IAS19!$C$17)^MAX(B38-Inputs_IAS19!$C$18,0)))</f>
        <v/>
      </c>
      <c r="E38">
        <f>E37*(1-D38)</f>
        <v/>
      </c>
      <c r="F38">
        <f>(E37+E38)/2</f>
        <v/>
      </c>
      <c r="G38">
        <f>G37*(1+IF(B38=Inputs_IAS19!$C$7,Inputs_IAS19!$C$8,Inputs_IAS19!$C$6))</f>
        <v/>
      </c>
      <c r="H38">
        <f>$B$7*G38*F38</f>
        <v/>
      </c>
      <c r="I38">
        <f>(1+Inputs_IAS19!$C$26)^-(A38-0.5)</f>
        <v/>
      </c>
      <c r="J38">
        <f>H38*I38</f>
        <v/>
      </c>
      <c r="K38">
        <f>H38*INDEX(Curve_IAS19!$D$2:$D$101,A38)</f>
        <v/>
      </c>
    </row>
    <row r="39">
      <c r="A39" t="n">
        <v>21</v>
      </c>
      <c r="B39">
        <f>Inputs_IAS19!$C$2+A39</f>
        <v/>
      </c>
      <c r="C39">
        <f>$B$5+A39-1</f>
        <v/>
      </c>
      <c r="D39">
        <f>IF(C39&gt;=120,1,MIN(1,IF(A39&lt;=$B$6,IF($B$4="M",Inputs_IAS19!$C$13,Inputs_IAS19!$C$14),IF($B$4="M",Inputs_IAS19!$C$15,Inputs_IAS19!$C$16))*INDEX(ILT!$B$2:$C$122,MIN(C39,120)+1,IF($B$4="M",1,2))*(1-Inputs_IAS19!$C$17)^MAX(B39-Inputs_IAS19!$C$18,0)))</f>
        <v/>
      </c>
      <c r="E39">
        <f>E38*(1-D39)</f>
        <v/>
      </c>
      <c r="F39">
        <f>(E38+E39)/2</f>
        <v/>
      </c>
      <c r="G39">
        <f>G38*(1+IF(B39=Inputs_IAS19!$C$7,Inputs_IAS19!$C$8,Inputs_IAS19!$C$6))</f>
        <v/>
      </c>
      <c r="H39">
        <f>$B$7*G39*F39</f>
        <v/>
      </c>
      <c r="I39">
        <f>(1+Inputs_IAS19!$C$26)^-(A39-0.5)</f>
        <v/>
      </c>
      <c r="J39">
        <f>H39*I39</f>
        <v/>
      </c>
      <c r="K39">
        <f>H39*INDEX(Curve_IAS19!$D$2:$D$101,A39)</f>
        <v/>
      </c>
    </row>
    <row r="40">
      <c r="A40" t="n">
        <v>22</v>
      </c>
      <c r="B40">
        <f>Inputs_IAS19!$C$2+A40</f>
        <v/>
      </c>
      <c r="C40">
        <f>$B$5+A40-1</f>
        <v/>
      </c>
      <c r="D40">
        <f>IF(C40&gt;=120,1,MIN(1,IF(A40&lt;=$B$6,IF($B$4="M",Inputs_IAS19!$C$13,Inputs_IAS19!$C$14),IF($B$4="M",Inputs_IAS19!$C$15,Inputs_IAS19!$C$16))*INDEX(ILT!$B$2:$C$122,MIN(C40,120)+1,IF($B$4="M",1,2))*(1-Inputs_IAS19!$C$17)^MAX(B40-Inputs_IAS19!$C$18,0)))</f>
        <v/>
      </c>
      <c r="E40">
        <f>E39*(1-D40)</f>
        <v/>
      </c>
      <c r="F40">
        <f>(E39+E40)/2</f>
        <v/>
      </c>
      <c r="G40">
        <f>G39*(1+IF(B40=Inputs_IAS19!$C$7,Inputs_IAS19!$C$8,Inputs_IAS19!$C$6))</f>
        <v/>
      </c>
      <c r="H40">
        <f>$B$7*G40*F40</f>
        <v/>
      </c>
      <c r="I40">
        <f>(1+Inputs_IAS19!$C$26)^-(A40-0.5)</f>
        <v/>
      </c>
      <c r="J40">
        <f>H40*I40</f>
        <v/>
      </c>
      <c r="K40">
        <f>H40*INDEX(Curve_IAS19!$D$2:$D$101,A40)</f>
        <v/>
      </c>
    </row>
    <row r="41">
      <c r="A41" t="n">
        <v>23</v>
      </c>
      <c r="B41">
        <f>Inputs_IAS19!$C$2+A41</f>
        <v/>
      </c>
      <c r="C41">
        <f>$B$5+A41-1</f>
        <v/>
      </c>
      <c r="D41">
        <f>IF(C41&gt;=120,1,MIN(1,IF(A41&lt;=$B$6,IF($B$4="M",Inputs_IAS19!$C$13,Inputs_IAS19!$C$14),IF($B$4="M",Inputs_IAS19!$C$15,Inputs_IAS19!$C$16))*INDEX(ILT!$B$2:$C$122,MIN(C41,120)+1,IF($B$4="M",1,2))*(1-Inputs_IAS19!$C$17)^MAX(B41-Inputs_IAS19!$C$18,0)))</f>
        <v/>
      </c>
      <c r="E41">
        <f>E40*(1-D41)</f>
        <v/>
      </c>
      <c r="F41">
        <f>(E40+E41)/2</f>
        <v/>
      </c>
      <c r="G41">
        <f>G40*(1+IF(B41=Inputs_IAS19!$C$7,Inputs_IAS19!$C$8,Inputs_IAS19!$C$6))</f>
        <v/>
      </c>
      <c r="H41">
        <f>$B$7*G41*F41</f>
        <v/>
      </c>
      <c r="I41">
        <f>(1+Inputs_IAS19!$C$26)^-(A41-0.5)</f>
        <v/>
      </c>
      <c r="J41">
        <f>H41*I41</f>
        <v/>
      </c>
      <c r="K41">
        <f>H41*INDEX(Curve_IAS19!$D$2:$D$101,A41)</f>
        <v/>
      </c>
    </row>
    <row r="42">
      <c r="A42" t="n">
        <v>24</v>
      </c>
      <c r="B42">
        <f>Inputs_IAS19!$C$2+A42</f>
        <v/>
      </c>
      <c r="C42">
        <f>$B$5+A42-1</f>
        <v/>
      </c>
      <c r="D42">
        <f>IF(C42&gt;=120,1,MIN(1,IF(A42&lt;=$B$6,IF($B$4="M",Inputs_IAS19!$C$13,Inputs_IAS19!$C$14),IF($B$4="M",Inputs_IAS19!$C$15,Inputs_IAS19!$C$16))*INDEX(ILT!$B$2:$C$122,MIN(C42,120)+1,IF($B$4="M",1,2))*(1-Inputs_IAS19!$C$17)^MAX(B42-Inputs_IAS19!$C$18,0)))</f>
        <v/>
      </c>
      <c r="E42">
        <f>E41*(1-D42)</f>
        <v/>
      </c>
      <c r="F42">
        <f>(E41+E42)/2</f>
        <v/>
      </c>
      <c r="G42">
        <f>G41*(1+IF(B42=Inputs_IAS19!$C$7,Inputs_IAS19!$C$8,Inputs_IAS19!$C$6))</f>
        <v/>
      </c>
      <c r="H42">
        <f>$B$7*G42*F42</f>
        <v/>
      </c>
      <c r="I42">
        <f>(1+Inputs_IAS19!$C$26)^-(A42-0.5)</f>
        <v/>
      </c>
      <c r="J42">
        <f>H42*I42</f>
        <v/>
      </c>
      <c r="K42">
        <f>H42*INDEX(Curve_IAS19!$D$2:$D$101,A42)</f>
        <v/>
      </c>
    </row>
    <row r="43">
      <c r="A43" t="n">
        <v>25</v>
      </c>
      <c r="B43">
        <f>Inputs_IAS19!$C$2+A43</f>
        <v/>
      </c>
      <c r="C43">
        <f>$B$5+A43-1</f>
        <v/>
      </c>
      <c r="D43">
        <f>IF(C43&gt;=120,1,MIN(1,IF(A43&lt;=$B$6,IF($B$4="M",Inputs_IAS19!$C$13,Inputs_IAS19!$C$14),IF($B$4="M",Inputs_IAS19!$C$15,Inputs_IAS19!$C$16))*INDEX(ILT!$B$2:$C$122,MIN(C43,120)+1,IF($B$4="M",1,2))*(1-Inputs_IAS19!$C$17)^MAX(B43-Inputs_IAS19!$C$18,0)))</f>
        <v/>
      </c>
      <c r="E43">
        <f>E42*(1-D43)</f>
        <v/>
      </c>
      <c r="F43">
        <f>(E42+E43)/2</f>
        <v/>
      </c>
      <c r="G43">
        <f>G42*(1+IF(B43=Inputs_IAS19!$C$7,Inputs_IAS19!$C$8,Inputs_IAS19!$C$6))</f>
        <v/>
      </c>
      <c r="H43">
        <f>$B$7*G43*F43</f>
        <v/>
      </c>
      <c r="I43">
        <f>(1+Inputs_IAS19!$C$26)^-(A43-0.5)</f>
        <v/>
      </c>
      <c r="J43">
        <f>H43*I43</f>
        <v/>
      </c>
      <c r="K43">
        <f>H43*INDEX(Curve_IAS19!$D$2:$D$101,A43)</f>
        <v/>
      </c>
    </row>
    <row r="44">
      <c r="A44" t="n">
        <v>26</v>
      </c>
      <c r="B44">
        <f>Inputs_IAS19!$C$2+A44</f>
        <v/>
      </c>
      <c r="C44">
        <f>$B$5+A44-1</f>
        <v/>
      </c>
      <c r="D44">
        <f>IF(C44&gt;=120,1,MIN(1,IF(A44&lt;=$B$6,IF($B$4="M",Inputs_IAS19!$C$13,Inputs_IAS19!$C$14),IF($B$4="M",Inputs_IAS19!$C$15,Inputs_IAS19!$C$16))*INDEX(ILT!$B$2:$C$122,MIN(C44,120)+1,IF($B$4="M",1,2))*(1-Inputs_IAS19!$C$17)^MAX(B44-Inputs_IAS19!$C$18,0)))</f>
        <v/>
      </c>
      <c r="E44">
        <f>E43*(1-D44)</f>
        <v/>
      </c>
      <c r="F44">
        <f>(E43+E44)/2</f>
        <v/>
      </c>
      <c r="G44">
        <f>G43*(1+IF(B44=Inputs_IAS19!$C$7,Inputs_IAS19!$C$8,Inputs_IAS19!$C$6))</f>
        <v/>
      </c>
      <c r="H44">
        <f>$B$7*G44*F44</f>
        <v/>
      </c>
      <c r="I44">
        <f>(1+Inputs_IAS19!$C$26)^-(A44-0.5)</f>
        <v/>
      </c>
      <c r="J44">
        <f>H44*I44</f>
        <v/>
      </c>
      <c r="K44">
        <f>H44*INDEX(Curve_IAS19!$D$2:$D$101,A44)</f>
        <v/>
      </c>
    </row>
    <row r="45">
      <c r="A45" t="n">
        <v>27</v>
      </c>
      <c r="B45">
        <f>Inputs_IAS19!$C$2+A45</f>
        <v/>
      </c>
      <c r="C45">
        <f>$B$5+A45-1</f>
        <v/>
      </c>
      <c r="D45">
        <f>IF(C45&gt;=120,1,MIN(1,IF(A45&lt;=$B$6,IF($B$4="M",Inputs_IAS19!$C$13,Inputs_IAS19!$C$14),IF($B$4="M",Inputs_IAS19!$C$15,Inputs_IAS19!$C$16))*INDEX(ILT!$B$2:$C$122,MIN(C45,120)+1,IF($B$4="M",1,2))*(1-Inputs_IAS19!$C$17)^MAX(B45-Inputs_IAS19!$C$18,0)))</f>
        <v/>
      </c>
      <c r="E45">
        <f>E44*(1-D45)</f>
        <v/>
      </c>
      <c r="F45">
        <f>(E44+E45)/2</f>
        <v/>
      </c>
      <c r="G45">
        <f>G44*(1+IF(B45=Inputs_IAS19!$C$7,Inputs_IAS19!$C$8,Inputs_IAS19!$C$6))</f>
        <v/>
      </c>
      <c r="H45">
        <f>$B$7*G45*F45</f>
        <v/>
      </c>
      <c r="I45">
        <f>(1+Inputs_IAS19!$C$26)^-(A45-0.5)</f>
        <v/>
      </c>
      <c r="J45">
        <f>H45*I45</f>
        <v/>
      </c>
      <c r="K45">
        <f>H45*INDEX(Curve_IAS19!$D$2:$D$101,A45)</f>
        <v/>
      </c>
    </row>
    <row r="46">
      <c r="A46" t="n">
        <v>28</v>
      </c>
      <c r="B46">
        <f>Inputs_IAS19!$C$2+A46</f>
        <v/>
      </c>
      <c r="C46">
        <f>$B$5+A46-1</f>
        <v/>
      </c>
      <c r="D46">
        <f>IF(C46&gt;=120,1,MIN(1,IF(A46&lt;=$B$6,IF($B$4="M",Inputs_IAS19!$C$13,Inputs_IAS19!$C$14),IF($B$4="M",Inputs_IAS19!$C$15,Inputs_IAS19!$C$16))*INDEX(ILT!$B$2:$C$122,MIN(C46,120)+1,IF($B$4="M",1,2))*(1-Inputs_IAS19!$C$17)^MAX(B46-Inputs_IAS19!$C$18,0)))</f>
        <v/>
      </c>
      <c r="E46">
        <f>E45*(1-D46)</f>
        <v/>
      </c>
      <c r="F46">
        <f>(E45+E46)/2</f>
        <v/>
      </c>
      <c r="G46">
        <f>G45*(1+IF(B46=Inputs_IAS19!$C$7,Inputs_IAS19!$C$8,Inputs_IAS19!$C$6))</f>
        <v/>
      </c>
      <c r="H46">
        <f>$B$7*G46*F46</f>
        <v/>
      </c>
      <c r="I46">
        <f>(1+Inputs_IAS19!$C$26)^-(A46-0.5)</f>
        <v/>
      </c>
      <c r="J46">
        <f>H46*I46</f>
        <v/>
      </c>
      <c r="K46">
        <f>H46*INDEX(Curve_IAS19!$D$2:$D$101,A46)</f>
        <v/>
      </c>
    </row>
    <row r="47">
      <c r="A47" t="n">
        <v>29</v>
      </c>
      <c r="B47">
        <f>Inputs_IAS19!$C$2+A47</f>
        <v/>
      </c>
      <c r="C47">
        <f>$B$5+A47-1</f>
        <v/>
      </c>
      <c r="D47">
        <f>IF(C47&gt;=120,1,MIN(1,IF(A47&lt;=$B$6,IF($B$4="M",Inputs_IAS19!$C$13,Inputs_IAS19!$C$14),IF($B$4="M",Inputs_IAS19!$C$15,Inputs_IAS19!$C$16))*INDEX(ILT!$B$2:$C$122,MIN(C47,120)+1,IF($B$4="M",1,2))*(1-Inputs_IAS19!$C$17)^MAX(B47-Inputs_IAS19!$C$18,0)))</f>
        <v/>
      </c>
      <c r="E47">
        <f>E46*(1-D47)</f>
        <v/>
      </c>
      <c r="F47">
        <f>(E46+E47)/2</f>
        <v/>
      </c>
      <c r="G47">
        <f>G46*(1+IF(B47=Inputs_IAS19!$C$7,Inputs_IAS19!$C$8,Inputs_IAS19!$C$6))</f>
        <v/>
      </c>
      <c r="H47">
        <f>$B$7*G47*F47</f>
        <v/>
      </c>
      <c r="I47">
        <f>(1+Inputs_IAS19!$C$26)^-(A47-0.5)</f>
        <v/>
      </c>
      <c r="J47">
        <f>H47*I47</f>
        <v/>
      </c>
      <c r="K47">
        <f>H47*INDEX(Curve_IAS19!$D$2:$D$101,A47)</f>
        <v/>
      </c>
    </row>
    <row r="48">
      <c r="A48" t="n">
        <v>30</v>
      </c>
      <c r="B48">
        <f>Inputs_IAS19!$C$2+A48</f>
        <v/>
      </c>
      <c r="C48">
        <f>$B$5+A48-1</f>
        <v/>
      </c>
      <c r="D48">
        <f>IF(C48&gt;=120,1,MIN(1,IF(A48&lt;=$B$6,IF($B$4="M",Inputs_IAS19!$C$13,Inputs_IAS19!$C$14),IF($B$4="M",Inputs_IAS19!$C$15,Inputs_IAS19!$C$16))*INDEX(ILT!$B$2:$C$122,MIN(C48,120)+1,IF($B$4="M",1,2))*(1-Inputs_IAS19!$C$17)^MAX(B48-Inputs_IAS19!$C$18,0)))</f>
        <v/>
      </c>
      <c r="E48">
        <f>E47*(1-D48)</f>
        <v/>
      </c>
      <c r="F48">
        <f>(E47+E48)/2</f>
        <v/>
      </c>
      <c r="G48">
        <f>G47*(1+IF(B48=Inputs_IAS19!$C$7,Inputs_IAS19!$C$8,Inputs_IAS19!$C$6))</f>
        <v/>
      </c>
      <c r="H48">
        <f>$B$7*G48*F48</f>
        <v/>
      </c>
      <c r="I48">
        <f>(1+Inputs_IAS19!$C$26)^-(A48-0.5)</f>
        <v/>
      </c>
      <c r="J48">
        <f>H48*I48</f>
        <v/>
      </c>
      <c r="K48">
        <f>H48*INDEX(Curve_IAS19!$D$2:$D$101,A48)</f>
        <v/>
      </c>
    </row>
    <row r="49">
      <c r="A49" t="n">
        <v>31</v>
      </c>
      <c r="B49">
        <f>Inputs_IAS19!$C$2+A49</f>
        <v/>
      </c>
      <c r="C49">
        <f>$B$5+A49-1</f>
        <v/>
      </c>
      <c r="D49">
        <f>IF(C49&gt;=120,1,MIN(1,IF(A49&lt;=$B$6,IF($B$4="M",Inputs_IAS19!$C$13,Inputs_IAS19!$C$14),IF($B$4="M",Inputs_IAS19!$C$15,Inputs_IAS19!$C$16))*INDEX(ILT!$B$2:$C$122,MIN(C49,120)+1,IF($B$4="M",1,2))*(1-Inputs_IAS19!$C$17)^MAX(B49-Inputs_IAS19!$C$18,0)))</f>
        <v/>
      </c>
      <c r="E49">
        <f>E48*(1-D49)</f>
        <v/>
      </c>
      <c r="F49">
        <f>(E48+E49)/2</f>
        <v/>
      </c>
      <c r="G49">
        <f>G48*(1+IF(B49=Inputs_IAS19!$C$7,Inputs_IAS19!$C$8,Inputs_IAS19!$C$6))</f>
        <v/>
      </c>
      <c r="H49">
        <f>$B$7*G49*F49</f>
        <v/>
      </c>
      <c r="I49">
        <f>(1+Inputs_IAS19!$C$26)^-(A49-0.5)</f>
        <v/>
      </c>
      <c r="J49">
        <f>H49*I49</f>
        <v/>
      </c>
      <c r="K49">
        <f>H49*INDEX(Curve_IAS19!$D$2:$D$101,A49)</f>
        <v/>
      </c>
    </row>
    <row r="50">
      <c r="A50" t="n">
        <v>32</v>
      </c>
      <c r="B50">
        <f>Inputs_IAS19!$C$2+A50</f>
        <v/>
      </c>
      <c r="C50">
        <f>$B$5+A50-1</f>
        <v/>
      </c>
      <c r="D50">
        <f>IF(C50&gt;=120,1,MIN(1,IF(A50&lt;=$B$6,IF($B$4="M",Inputs_IAS19!$C$13,Inputs_IAS19!$C$14),IF($B$4="M",Inputs_IAS19!$C$15,Inputs_IAS19!$C$16))*INDEX(ILT!$B$2:$C$122,MIN(C50,120)+1,IF($B$4="M",1,2))*(1-Inputs_IAS19!$C$17)^MAX(B50-Inputs_IAS19!$C$18,0)))</f>
        <v/>
      </c>
      <c r="E50">
        <f>E49*(1-D50)</f>
        <v/>
      </c>
      <c r="F50">
        <f>(E49+E50)/2</f>
        <v/>
      </c>
      <c r="G50">
        <f>G49*(1+IF(B50=Inputs_IAS19!$C$7,Inputs_IAS19!$C$8,Inputs_IAS19!$C$6))</f>
        <v/>
      </c>
      <c r="H50">
        <f>$B$7*G50*F50</f>
        <v/>
      </c>
      <c r="I50">
        <f>(1+Inputs_IAS19!$C$26)^-(A50-0.5)</f>
        <v/>
      </c>
      <c r="J50">
        <f>H50*I50</f>
        <v/>
      </c>
      <c r="K50">
        <f>H50*INDEX(Curve_IAS19!$D$2:$D$101,A50)</f>
        <v/>
      </c>
    </row>
    <row r="51">
      <c r="A51" t="n">
        <v>33</v>
      </c>
      <c r="B51">
        <f>Inputs_IAS19!$C$2+A51</f>
        <v/>
      </c>
      <c r="C51">
        <f>$B$5+A51-1</f>
        <v/>
      </c>
      <c r="D51">
        <f>IF(C51&gt;=120,1,MIN(1,IF(A51&lt;=$B$6,IF($B$4="M",Inputs_IAS19!$C$13,Inputs_IAS19!$C$14),IF($B$4="M",Inputs_IAS19!$C$15,Inputs_IAS19!$C$16))*INDEX(ILT!$B$2:$C$122,MIN(C51,120)+1,IF($B$4="M",1,2))*(1-Inputs_IAS19!$C$17)^MAX(B51-Inputs_IAS19!$C$18,0)))</f>
        <v/>
      </c>
      <c r="E51">
        <f>E50*(1-D51)</f>
        <v/>
      </c>
      <c r="F51">
        <f>(E50+E51)/2</f>
        <v/>
      </c>
      <c r="G51">
        <f>G50*(1+IF(B51=Inputs_IAS19!$C$7,Inputs_IAS19!$C$8,Inputs_IAS19!$C$6))</f>
        <v/>
      </c>
      <c r="H51">
        <f>$B$7*G51*F51</f>
        <v/>
      </c>
      <c r="I51">
        <f>(1+Inputs_IAS19!$C$26)^-(A51-0.5)</f>
        <v/>
      </c>
      <c r="J51">
        <f>H51*I51</f>
        <v/>
      </c>
      <c r="K51">
        <f>H51*INDEX(Curve_IAS19!$D$2:$D$101,A51)</f>
        <v/>
      </c>
    </row>
    <row r="52">
      <c r="A52" t="n">
        <v>34</v>
      </c>
      <c r="B52">
        <f>Inputs_IAS19!$C$2+A52</f>
        <v/>
      </c>
      <c r="C52">
        <f>$B$5+A52-1</f>
        <v/>
      </c>
      <c r="D52">
        <f>IF(C52&gt;=120,1,MIN(1,IF(A52&lt;=$B$6,IF($B$4="M",Inputs_IAS19!$C$13,Inputs_IAS19!$C$14),IF($B$4="M",Inputs_IAS19!$C$15,Inputs_IAS19!$C$16))*INDEX(ILT!$B$2:$C$122,MIN(C52,120)+1,IF($B$4="M",1,2))*(1-Inputs_IAS19!$C$17)^MAX(B52-Inputs_IAS19!$C$18,0)))</f>
        <v/>
      </c>
      <c r="E52">
        <f>E51*(1-D52)</f>
        <v/>
      </c>
      <c r="F52">
        <f>(E51+E52)/2</f>
        <v/>
      </c>
      <c r="G52">
        <f>G51*(1+IF(B52=Inputs_IAS19!$C$7,Inputs_IAS19!$C$8,Inputs_IAS19!$C$6))</f>
        <v/>
      </c>
      <c r="H52">
        <f>$B$7*G52*F52</f>
        <v/>
      </c>
      <c r="I52">
        <f>(1+Inputs_IAS19!$C$26)^-(A52-0.5)</f>
        <v/>
      </c>
      <c r="J52">
        <f>H52*I52</f>
        <v/>
      </c>
      <c r="K52">
        <f>H52*INDEX(Curve_IAS19!$D$2:$D$101,A52)</f>
        <v/>
      </c>
    </row>
    <row r="53">
      <c r="A53" t="n">
        <v>35</v>
      </c>
      <c r="B53">
        <f>Inputs_IAS19!$C$2+A53</f>
        <v/>
      </c>
      <c r="C53">
        <f>$B$5+A53-1</f>
        <v/>
      </c>
      <c r="D53">
        <f>IF(C53&gt;=120,1,MIN(1,IF(A53&lt;=$B$6,IF($B$4="M",Inputs_IAS19!$C$13,Inputs_IAS19!$C$14),IF($B$4="M",Inputs_IAS19!$C$15,Inputs_IAS19!$C$16))*INDEX(ILT!$B$2:$C$122,MIN(C53,120)+1,IF($B$4="M",1,2))*(1-Inputs_IAS19!$C$17)^MAX(B53-Inputs_IAS19!$C$18,0)))</f>
        <v/>
      </c>
      <c r="E53">
        <f>E52*(1-D53)</f>
        <v/>
      </c>
      <c r="F53">
        <f>(E52+E53)/2</f>
        <v/>
      </c>
      <c r="G53">
        <f>G52*(1+IF(B53=Inputs_IAS19!$C$7,Inputs_IAS19!$C$8,Inputs_IAS19!$C$6))</f>
        <v/>
      </c>
      <c r="H53">
        <f>$B$7*G53*F53</f>
        <v/>
      </c>
      <c r="I53">
        <f>(1+Inputs_IAS19!$C$26)^-(A53-0.5)</f>
        <v/>
      </c>
      <c r="J53">
        <f>H53*I53</f>
        <v/>
      </c>
      <c r="K53">
        <f>H53*INDEX(Curve_IAS19!$D$2:$D$101,A53)</f>
        <v/>
      </c>
    </row>
    <row r="54">
      <c r="A54" t="n">
        <v>36</v>
      </c>
      <c r="B54">
        <f>Inputs_IAS19!$C$2+A54</f>
        <v/>
      </c>
      <c r="C54">
        <f>$B$5+A54-1</f>
        <v/>
      </c>
      <c r="D54">
        <f>IF(C54&gt;=120,1,MIN(1,IF(A54&lt;=$B$6,IF($B$4="M",Inputs_IAS19!$C$13,Inputs_IAS19!$C$14),IF($B$4="M",Inputs_IAS19!$C$15,Inputs_IAS19!$C$16))*INDEX(ILT!$B$2:$C$122,MIN(C54,120)+1,IF($B$4="M",1,2))*(1-Inputs_IAS19!$C$17)^MAX(B54-Inputs_IAS19!$C$18,0)))</f>
        <v/>
      </c>
      <c r="E54">
        <f>E53*(1-D54)</f>
        <v/>
      </c>
      <c r="F54">
        <f>(E53+E54)/2</f>
        <v/>
      </c>
      <c r="G54">
        <f>G53*(1+IF(B54=Inputs_IAS19!$C$7,Inputs_IAS19!$C$8,Inputs_IAS19!$C$6))</f>
        <v/>
      </c>
      <c r="H54">
        <f>$B$7*G54*F54</f>
        <v/>
      </c>
      <c r="I54">
        <f>(1+Inputs_IAS19!$C$26)^-(A54-0.5)</f>
        <v/>
      </c>
      <c r="J54">
        <f>H54*I54</f>
        <v/>
      </c>
      <c r="K54">
        <f>H54*INDEX(Curve_IAS19!$D$2:$D$101,A54)</f>
        <v/>
      </c>
    </row>
    <row r="55">
      <c r="A55" t="n">
        <v>37</v>
      </c>
      <c r="B55">
        <f>Inputs_IAS19!$C$2+A55</f>
        <v/>
      </c>
      <c r="C55">
        <f>$B$5+A55-1</f>
        <v/>
      </c>
      <c r="D55">
        <f>IF(C55&gt;=120,1,MIN(1,IF(A55&lt;=$B$6,IF($B$4="M",Inputs_IAS19!$C$13,Inputs_IAS19!$C$14),IF($B$4="M",Inputs_IAS19!$C$15,Inputs_IAS19!$C$16))*INDEX(ILT!$B$2:$C$122,MIN(C55,120)+1,IF($B$4="M",1,2))*(1-Inputs_IAS19!$C$17)^MAX(B55-Inputs_IAS19!$C$18,0)))</f>
        <v/>
      </c>
      <c r="E55">
        <f>E54*(1-D55)</f>
        <v/>
      </c>
      <c r="F55">
        <f>(E54+E55)/2</f>
        <v/>
      </c>
      <c r="G55">
        <f>G54*(1+IF(B55=Inputs_IAS19!$C$7,Inputs_IAS19!$C$8,Inputs_IAS19!$C$6))</f>
        <v/>
      </c>
      <c r="H55">
        <f>$B$7*G55*F55</f>
        <v/>
      </c>
      <c r="I55">
        <f>(1+Inputs_IAS19!$C$26)^-(A55-0.5)</f>
        <v/>
      </c>
      <c r="J55">
        <f>H55*I55</f>
        <v/>
      </c>
      <c r="K55">
        <f>H55*INDEX(Curve_IAS19!$D$2:$D$101,A55)</f>
        <v/>
      </c>
    </row>
    <row r="56">
      <c r="A56" t="n">
        <v>38</v>
      </c>
      <c r="B56">
        <f>Inputs_IAS19!$C$2+A56</f>
        <v/>
      </c>
      <c r="C56">
        <f>$B$5+A56-1</f>
        <v/>
      </c>
      <c r="D56">
        <f>IF(C56&gt;=120,1,MIN(1,IF(A56&lt;=$B$6,IF($B$4="M",Inputs_IAS19!$C$13,Inputs_IAS19!$C$14),IF($B$4="M",Inputs_IAS19!$C$15,Inputs_IAS19!$C$16))*INDEX(ILT!$B$2:$C$122,MIN(C56,120)+1,IF($B$4="M",1,2))*(1-Inputs_IAS19!$C$17)^MAX(B56-Inputs_IAS19!$C$18,0)))</f>
        <v/>
      </c>
      <c r="E56">
        <f>E55*(1-D56)</f>
        <v/>
      </c>
      <c r="F56">
        <f>(E55+E56)/2</f>
        <v/>
      </c>
      <c r="G56">
        <f>G55*(1+IF(B56=Inputs_IAS19!$C$7,Inputs_IAS19!$C$8,Inputs_IAS19!$C$6))</f>
        <v/>
      </c>
      <c r="H56">
        <f>$B$7*G56*F56</f>
        <v/>
      </c>
      <c r="I56">
        <f>(1+Inputs_IAS19!$C$26)^-(A56-0.5)</f>
        <v/>
      </c>
      <c r="J56">
        <f>H56*I56</f>
        <v/>
      </c>
      <c r="K56">
        <f>H56*INDEX(Curve_IAS19!$D$2:$D$101,A56)</f>
        <v/>
      </c>
    </row>
    <row r="57">
      <c r="A57" t="n">
        <v>39</v>
      </c>
      <c r="B57">
        <f>Inputs_IAS19!$C$2+A57</f>
        <v/>
      </c>
      <c r="C57">
        <f>$B$5+A57-1</f>
        <v/>
      </c>
      <c r="D57">
        <f>IF(C57&gt;=120,1,MIN(1,IF(A57&lt;=$B$6,IF($B$4="M",Inputs_IAS19!$C$13,Inputs_IAS19!$C$14),IF($B$4="M",Inputs_IAS19!$C$15,Inputs_IAS19!$C$16))*INDEX(ILT!$B$2:$C$122,MIN(C57,120)+1,IF($B$4="M",1,2))*(1-Inputs_IAS19!$C$17)^MAX(B57-Inputs_IAS19!$C$18,0)))</f>
        <v/>
      </c>
      <c r="E57">
        <f>E56*(1-D57)</f>
        <v/>
      </c>
      <c r="F57">
        <f>(E56+E57)/2</f>
        <v/>
      </c>
      <c r="G57">
        <f>G56*(1+IF(B57=Inputs_IAS19!$C$7,Inputs_IAS19!$C$8,Inputs_IAS19!$C$6))</f>
        <v/>
      </c>
      <c r="H57">
        <f>$B$7*G57*F57</f>
        <v/>
      </c>
      <c r="I57">
        <f>(1+Inputs_IAS19!$C$26)^-(A57-0.5)</f>
        <v/>
      </c>
      <c r="J57">
        <f>H57*I57</f>
        <v/>
      </c>
      <c r="K57">
        <f>H57*INDEX(Curve_IAS19!$D$2:$D$101,A57)</f>
        <v/>
      </c>
    </row>
    <row r="58">
      <c r="A58" t="n">
        <v>40</v>
      </c>
      <c r="B58">
        <f>Inputs_IAS19!$C$2+A58</f>
        <v/>
      </c>
      <c r="C58">
        <f>$B$5+A58-1</f>
        <v/>
      </c>
      <c r="D58">
        <f>IF(C58&gt;=120,1,MIN(1,IF(A58&lt;=$B$6,IF($B$4="M",Inputs_IAS19!$C$13,Inputs_IAS19!$C$14),IF($B$4="M",Inputs_IAS19!$C$15,Inputs_IAS19!$C$16))*INDEX(ILT!$B$2:$C$122,MIN(C58,120)+1,IF($B$4="M",1,2))*(1-Inputs_IAS19!$C$17)^MAX(B58-Inputs_IAS19!$C$18,0)))</f>
        <v/>
      </c>
      <c r="E58">
        <f>E57*(1-D58)</f>
        <v/>
      </c>
      <c r="F58">
        <f>(E57+E58)/2</f>
        <v/>
      </c>
      <c r="G58">
        <f>G57*(1+IF(B58=Inputs_IAS19!$C$7,Inputs_IAS19!$C$8,Inputs_IAS19!$C$6))</f>
        <v/>
      </c>
      <c r="H58">
        <f>$B$7*G58*F58</f>
        <v/>
      </c>
      <c r="I58">
        <f>(1+Inputs_IAS19!$C$26)^-(A58-0.5)</f>
        <v/>
      </c>
      <c r="J58">
        <f>H58*I58</f>
        <v/>
      </c>
      <c r="K58">
        <f>H58*INDEX(Curve_IAS19!$D$2:$D$101,A58)</f>
        <v/>
      </c>
    </row>
    <row r="59">
      <c r="A59" t="n">
        <v>41</v>
      </c>
      <c r="B59">
        <f>Inputs_IAS19!$C$2+A59</f>
        <v/>
      </c>
      <c r="C59">
        <f>$B$5+A59-1</f>
        <v/>
      </c>
      <c r="D59">
        <f>IF(C59&gt;=120,1,MIN(1,IF(A59&lt;=$B$6,IF($B$4="M",Inputs_IAS19!$C$13,Inputs_IAS19!$C$14),IF($B$4="M",Inputs_IAS19!$C$15,Inputs_IAS19!$C$16))*INDEX(ILT!$B$2:$C$122,MIN(C59,120)+1,IF($B$4="M",1,2))*(1-Inputs_IAS19!$C$17)^MAX(B59-Inputs_IAS19!$C$18,0)))</f>
        <v/>
      </c>
      <c r="E59">
        <f>E58*(1-D59)</f>
        <v/>
      </c>
      <c r="F59">
        <f>(E58+E59)/2</f>
        <v/>
      </c>
      <c r="G59">
        <f>G58*(1+IF(B59=Inputs_IAS19!$C$7,Inputs_IAS19!$C$8,Inputs_IAS19!$C$6))</f>
        <v/>
      </c>
      <c r="H59">
        <f>$B$7*G59*F59</f>
        <v/>
      </c>
      <c r="I59">
        <f>(1+Inputs_IAS19!$C$26)^-(A59-0.5)</f>
        <v/>
      </c>
      <c r="J59">
        <f>H59*I59</f>
        <v/>
      </c>
      <c r="K59">
        <f>H59*INDEX(Curve_IAS19!$D$2:$D$101,A59)</f>
        <v/>
      </c>
    </row>
    <row r="60">
      <c r="A60" t="n">
        <v>42</v>
      </c>
      <c r="B60">
        <f>Inputs_IAS19!$C$2+A60</f>
        <v/>
      </c>
      <c r="C60">
        <f>$B$5+A60-1</f>
        <v/>
      </c>
      <c r="D60">
        <f>IF(C60&gt;=120,1,MIN(1,IF(A60&lt;=$B$6,IF($B$4="M",Inputs_IAS19!$C$13,Inputs_IAS19!$C$14),IF($B$4="M",Inputs_IAS19!$C$15,Inputs_IAS19!$C$16))*INDEX(ILT!$B$2:$C$122,MIN(C60,120)+1,IF($B$4="M",1,2))*(1-Inputs_IAS19!$C$17)^MAX(B60-Inputs_IAS19!$C$18,0)))</f>
        <v/>
      </c>
      <c r="E60">
        <f>E59*(1-D60)</f>
        <v/>
      </c>
      <c r="F60">
        <f>(E59+E60)/2</f>
        <v/>
      </c>
      <c r="G60">
        <f>G59*(1+IF(B60=Inputs_IAS19!$C$7,Inputs_IAS19!$C$8,Inputs_IAS19!$C$6))</f>
        <v/>
      </c>
      <c r="H60">
        <f>$B$7*G60*F60</f>
        <v/>
      </c>
      <c r="I60">
        <f>(1+Inputs_IAS19!$C$26)^-(A60-0.5)</f>
        <v/>
      </c>
      <c r="J60">
        <f>H60*I60</f>
        <v/>
      </c>
      <c r="K60">
        <f>H60*INDEX(Curve_IAS19!$D$2:$D$101,A60)</f>
        <v/>
      </c>
    </row>
    <row r="61">
      <c r="A61" t="n">
        <v>43</v>
      </c>
      <c r="B61">
        <f>Inputs_IAS19!$C$2+A61</f>
        <v/>
      </c>
      <c r="C61">
        <f>$B$5+A61-1</f>
        <v/>
      </c>
      <c r="D61">
        <f>IF(C61&gt;=120,1,MIN(1,IF(A61&lt;=$B$6,IF($B$4="M",Inputs_IAS19!$C$13,Inputs_IAS19!$C$14),IF($B$4="M",Inputs_IAS19!$C$15,Inputs_IAS19!$C$16))*INDEX(ILT!$B$2:$C$122,MIN(C61,120)+1,IF($B$4="M",1,2))*(1-Inputs_IAS19!$C$17)^MAX(B61-Inputs_IAS19!$C$18,0)))</f>
        <v/>
      </c>
      <c r="E61">
        <f>E60*(1-D61)</f>
        <v/>
      </c>
      <c r="F61">
        <f>(E60+E61)/2</f>
        <v/>
      </c>
      <c r="G61">
        <f>G60*(1+IF(B61=Inputs_IAS19!$C$7,Inputs_IAS19!$C$8,Inputs_IAS19!$C$6))</f>
        <v/>
      </c>
      <c r="H61">
        <f>$B$7*G61*F61</f>
        <v/>
      </c>
      <c r="I61">
        <f>(1+Inputs_IAS19!$C$26)^-(A61-0.5)</f>
        <v/>
      </c>
      <c r="J61">
        <f>H61*I61</f>
        <v/>
      </c>
      <c r="K61">
        <f>H61*INDEX(Curve_IAS19!$D$2:$D$101,A61)</f>
        <v/>
      </c>
    </row>
    <row r="62">
      <c r="A62" t="n">
        <v>44</v>
      </c>
      <c r="B62">
        <f>Inputs_IAS19!$C$2+A62</f>
        <v/>
      </c>
      <c r="C62">
        <f>$B$5+A62-1</f>
        <v/>
      </c>
      <c r="D62">
        <f>IF(C62&gt;=120,1,MIN(1,IF(A62&lt;=$B$6,IF($B$4="M",Inputs_IAS19!$C$13,Inputs_IAS19!$C$14),IF($B$4="M",Inputs_IAS19!$C$15,Inputs_IAS19!$C$16))*INDEX(ILT!$B$2:$C$122,MIN(C62,120)+1,IF($B$4="M",1,2))*(1-Inputs_IAS19!$C$17)^MAX(B62-Inputs_IAS19!$C$18,0)))</f>
        <v/>
      </c>
      <c r="E62">
        <f>E61*(1-D62)</f>
        <v/>
      </c>
      <c r="F62">
        <f>(E61+E62)/2</f>
        <v/>
      </c>
      <c r="G62">
        <f>G61*(1+IF(B62=Inputs_IAS19!$C$7,Inputs_IAS19!$C$8,Inputs_IAS19!$C$6))</f>
        <v/>
      </c>
      <c r="H62">
        <f>$B$7*G62*F62</f>
        <v/>
      </c>
      <c r="I62">
        <f>(1+Inputs_IAS19!$C$26)^-(A62-0.5)</f>
        <v/>
      </c>
      <c r="J62">
        <f>H62*I62</f>
        <v/>
      </c>
      <c r="K62">
        <f>H62*INDEX(Curve_IAS19!$D$2:$D$101,A62)</f>
        <v/>
      </c>
    </row>
    <row r="63">
      <c r="A63" t="n">
        <v>45</v>
      </c>
      <c r="B63">
        <f>Inputs_IAS19!$C$2+A63</f>
        <v/>
      </c>
      <c r="C63">
        <f>$B$5+A63-1</f>
        <v/>
      </c>
      <c r="D63">
        <f>IF(C63&gt;=120,1,MIN(1,IF(A63&lt;=$B$6,IF($B$4="M",Inputs_IAS19!$C$13,Inputs_IAS19!$C$14),IF($B$4="M",Inputs_IAS19!$C$15,Inputs_IAS19!$C$16))*INDEX(ILT!$B$2:$C$122,MIN(C63,120)+1,IF($B$4="M",1,2))*(1-Inputs_IAS19!$C$17)^MAX(B63-Inputs_IAS19!$C$18,0)))</f>
        <v/>
      </c>
      <c r="E63">
        <f>E62*(1-D63)</f>
        <v/>
      </c>
      <c r="F63">
        <f>(E62+E63)/2</f>
        <v/>
      </c>
      <c r="G63">
        <f>G62*(1+IF(B63=Inputs_IAS19!$C$7,Inputs_IAS19!$C$8,Inputs_IAS19!$C$6))</f>
        <v/>
      </c>
      <c r="H63">
        <f>$B$7*G63*F63</f>
        <v/>
      </c>
      <c r="I63">
        <f>(1+Inputs_IAS19!$C$26)^-(A63-0.5)</f>
        <v/>
      </c>
      <c r="J63">
        <f>H63*I63</f>
        <v/>
      </c>
      <c r="K63">
        <f>H63*INDEX(Curve_IAS19!$D$2:$D$101,A63)</f>
        <v/>
      </c>
    </row>
    <row r="64">
      <c r="A64" t="n">
        <v>46</v>
      </c>
      <c r="B64">
        <f>Inputs_IAS19!$C$2+A64</f>
        <v/>
      </c>
      <c r="C64">
        <f>$B$5+A64-1</f>
        <v/>
      </c>
      <c r="D64">
        <f>IF(C64&gt;=120,1,MIN(1,IF(A64&lt;=$B$6,IF($B$4="M",Inputs_IAS19!$C$13,Inputs_IAS19!$C$14),IF($B$4="M",Inputs_IAS19!$C$15,Inputs_IAS19!$C$16))*INDEX(ILT!$B$2:$C$122,MIN(C64,120)+1,IF($B$4="M",1,2))*(1-Inputs_IAS19!$C$17)^MAX(B64-Inputs_IAS19!$C$18,0)))</f>
        <v/>
      </c>
      <c r="E64">
        <f>E63*(1-D64)</f>
        <v/>
      </c>
      <c r="F64">
        <f>(E63+E64)/2</f>
        <v/>
      </c>
      <c r="G64">
        <f>G63*(1+IF(B64=Inputs_IAS19!$C$7,Inputs_IAS19!$C$8,Inputs_IAS19!$C$6))</f>
        <v/>
      </c>
      <c r="H64">
        <f>$B$7*G64*F64</f>
        <v/>
      </c>
      <c r="I64">
        <f>(1+Inputs_IAS19!$C$26)^-(A64-0.5)</f>
        <v/>
      </c>
      <c r="J64">
        <f>H64*I64</f>
        <v/>
      </c>
      <c r="K64">
        <f>H64*INDEX(Curve_IAS19!$D$2:$D$101,A64)</f>
        <v/>
      </c>
    </row>
    <row r="65">
      <c r="A65" t="n">
        <v>47</v>
      </c>
      <c r="B65">
        <f>Inputs_IAS19!$C$2+A65</f>
        <v/>
      </c>
      <c r="C65">
        <f>$B$5+A65-1</f>
        <v/>
      </c>
      <c r="D65">
        <f>IF(C65&gt;=120,1,MIN(1,IF(A65&lt;=$B$6,IF($B$4="M",Inputs_IAS19!$C$13,Inputs_IAS19!$C$14),IF($B$4="M",Inputs_IAS19!$C$15,Inputs_IAS19!$C$16))*INDEX(ILT!$B$2:$C$122,MIN(C65,120)+1,IF($B$4="M",1,2))*(1-Inputs_IAS19!$C$17)^MAX(B65-Inputs_IAS19!$C$18,0)))</f>
        <v/>
      </c>
      <c r="E65">
        <f>E64*(1-D65)</f>
        <v/>
      </c>
      <c r="F65">
        <f>(E64+E65)/2</f>
        <v/>
      </c>
      <c r="G65">
        <f>G64*(1+IF(B65=Inputs_IAS19!$C$7,Inputs_IAS19!$C$8,Inputs_IAS19!$C$6))</f>
        <v/>
      </c>
      <c r="H65">
        <f>$B$7*G65*F65</f>
        <v/>
      </c>
      <c r="I65">
        <f>(1+Inputs_IAS19!$C$26)^-(A65-0.5)</f>
        <v/>
      </c>
      <c r="J65">
        <f>H65*I65</f>
        <v/>
      </c>
      <c r="K65">
        <f>H65*INDEX(Curve_IAS19!$D$2:$D$101,A65)</f>
        <v/>
      </c>
    </row>
    <row r="66">
      <c r="A66" t="n">
        <v>48</v>
      </c>
      <c r="B66">
        <f>Inputs_IAS19!$C$2+A66</f>
        <v/>
      </c>
      <c r="C66">
        <f>$B$5+A66-1</f>
        <v/>
      </c>
      <c r="D66">
        <f>IF(C66&gt;=120,1,MIN(1,IF(A66&lt;=$B$6,IF($B$4="M",Inputs_IAS19!$C$13,Inputs_IAS19!$C$14),IF($B$4="M",Inputs_IAS19!$C$15,Inputs_IAS19!$C$16))*INDEX(ILT!$B$2:$C$122,MIN(C66,120)+1,IF($B$4="M",1,2))*(1-Inputs_IAS19!$C$17)^MAX(B66-Inputs_IAS19!$C$18,0)))</f>
        <v/>
      </c>
      <c r="E66">
        <f>E65*(1-D66)</f>
        <v/>
      </c>
      <c r="F66">
        <f>(E65+E66)/2</f>
        <v/>
      </c>
      <c r="G66">
        <f>G65*(1+IF(B66=Inputs_IAS19!$C$7,Inputs_IAS19!$C$8,Inputs_IAS19!$C$6))</f>
        <v/>
      </c>
      <c r="H66">
        <f>$B$7*G66*F66</f>
        <v/>
      </c>
      <c r="I66">
        <f>(1+Inputs_IAS19!$C$26)^-(A66-0.5)</f>
        <v/>
      </c>
      <c r="J66">
        <f>H66*I66</f>
        <v/>
      </c>
      <c r="K66">
        <f>H66*INDEX(Curve_IAS19!$D$2:$D$101,A66)</f>
        <v/>
      </c>
    </row>
    <row r="67">
      <c r="A67" t="n">
        <v>49</v>
      </c>
      <c r="B67">
        <f>Inputs_IAS19!$C$2+A67</f>
        <v/>
      </c>
      <c r="C67">
        <f>$B$5+A67-1</f>
        <v/>
      </c>
      <c r="D67">
        <f>IF(C67&gt;=120,1,MIN(1,IF(A67&lt;=$B$6,IF($B$4="M",Inputs_IAS19!$C$13,Inputs_IAS19!$C$14),IF($B$4="M",Inputs_IAS19!$C$15,Inputs_IAS19!$C$16))*INDEX(ILT!$B$2:$C$122,MIN(C67,120)+1,IF($B$4="M",1,2))*(1-Inputs_IAS19!$C$17)^MAX(B67-Inputs_IAS19!$C$18,0)))</f>
        <v/>
      </c>
      <c r="E67">
        <f>E66*(1-D67)</f>
        <v/>
      </c>
      <c r="F67">
        <f>(E66+E67)/2</f>
        <v/>
      </c>
      <c r="G67">
        <f>G66*(1+IF(B67=Inputs_IAS19!$C$7,Inputs_IAS19!$C$8,Inputs_IAS19!$C$6))</f>
        <v/>
      </c>
      <c r="H67">
        <f>$B$7*G67*F67</f>
        <v/>
      </c>
      <c r="I67">
        <f>(1+Inputs_IAS19!$C$26)^-(A67-0.5)</f>
        <v/>
      </c>
      <c r="J67">
        <f>H67*I67</f>
        <v/>
      </c>
      <c r="K67">
        <f>H67*INDEX(Curve_IAS19!$D$2:$D$101,A67)</f>
        <v/>
      </c>
    </row>
    <row r="68">
      <c r="A68" t="n">
        <v>50</v>
      </c>
      <c r="B68">
        <f>Inputs_IAS19!$C$2+A68</f>
        <v/>
      </c>
      <c r="C68">
        <f>$B$5+A68-1</f>
        <v/>
      </c>
      <c r="D68">
        <f>IF(C68&gt;=120,1,MIN(1,IF(A68&lt;=$B$6,IF($B$4="M",Inputs_IAS19!$C$13,Inputs_IAS19!$C$14),IF($B$4="M",Inputs_IAS19!$C$15,Inputs_IAS19!$C$16))*INDEX(ILT!$B$2:$C$122,MIN(C68,120)+1,IF($B$4="M",1,2))*(1-Inputs_IAS19!$C$17)^MAX(B68-Inputs_IAS19!$C$18,0)))</f>
        <v/>
      </c>
      <c r="E68">
        <f>E67*(1-D68)</f>
        <v/>
      </c>
      <c r="F68">
        <f>(E67+E68)/2</f>
        <v/>
      </c>
      <c r="G68">
        <f>G67*(1+IF(B68=Inputs_IAS19!$C$7,Inputs_IAS19!$C$8,Inputs_IAS19!$C$6))</f>
        <v/>
      </c>
      <c r="H68">
        <f>$B$7*G68*F68</f>
        <v/>
      </c>
      <c r="I68">
        <f>(1+Inputs_IAS19!$C$26)^-(A68-0.5)</f>
        <v/>
      </c>
      <c r="J68">
        <f>H68*I68</f>
        <v/>
      </c>
      <c r="K68">
        <f>H68*INDEX(Curve_IAS19!$D$2:$D$101,A68)</f>
        <v/>
      </c>
    </row>
    <row r="69">
      <c r="A69" t="n">
        <v>51</v>
      </c>
      <c r="B69">
        <f>Inputs_IAS19!$C$2+A69</f>
        <v/>
      </c>
      <c r="C69">
        <f>$B$5+A69-1</f>
        <v/>
      </c>
      <c r="D69">
        <f>IF(C69&gt;=120,1,MIN(1,IF(A69&lt;=$B$6,IF($B$4="M",Inputs_IAS19!$C$13,Inputs_IAS19!$C$14),IF($B$4="M",Inputs_IAS19!$C$15,Inputs_IAS19!$C$16))*INDEX(ILT!$B$2:$C$122,MIN(C69,120)+1,IF($B$4="M",1,2))*(1-Inputs_IAS19!$C$17)^MAX(B69-Inputs_IAS19!$C$18,0)))</f>
        <v/>
      </c>
      <c r="E69">
        <f>E68*(1-D69)</f>
        <v/>
      </c>
      <c r="F69">
        <f>(E68+E69)/2</f>
        <v/>
      </c>
      <c r="G69">
        <f>G68*(1+IF(B69=Inputs_IAS19!$C$7,Inputs_IAS19!$C$8,Inputs_IAS19!$C$6))</f>
        <v/>
      </c>
      <c r="H69">
        <f>$B$7*G69*F69</f>
        <v/>
      </c>
      <c r="I69">
        <f>(1+Inputs_IAS19!$C$26)^-(A69-0.5)</f>
        <v/>
      </c>
      <c r="J69">
        <f>H69*I69</f>
        <v/>
      </c>
      <c r="K69">
        <f>H69*INDEX(Curve_IAS19!$D$2:$D$101,A69)</f>
        <v/>
      </c>
    </row>
    <row r="70">
      <c r="A70" t="n">
        <v>52</v>
      </c>
      <c r="B70">
        <f>Inputs_IAS19!$C$2+A70</f>
        <v/>
      </c>
      <c r="C70">
        <f>$B$5+A70-1</f>
        <v/>
      </c>
      <c r="D70">
        <f>IF(C70&gt;=120,1,MIN(1,IF(A70&lt;=$B$6,IF($B$4="M",Inputs_IAS19!$C$13,Inputs_IAS19!$C$14),IF($B$4="M",Inputs_IAS19!$C$15,Inputs_IAS19!$C$16))*INDEX(ILT!$B$2:$C$122,MIN(C70,120)+1,IF($B$4="M",1,2))*(1-Inputs_IAS19!$C$17)^MAX(B70-Inputs_IAS19!$C$18,0)))</f>
        <v/>
      </c>
      <c r="E70">
        <f>E69*(1-D70)</f>
        <v/>
      </c>
      <c r="F70">
        <f>(E69+E70)/2</f>
        <v/>
      </c>
      <c r="G70">
        <f>G69*(1+IF(B70=Inputs_IAS19!$C$7,Inputs_IAS19!$C$8,Inputs_IAS19!$C$6))</f>
        <v/>
      </c>
      <c r="H70">
        <f>$B$7*G70*F70</f>
        <v/>
      </c>
      <c r="I70">
        <f>(1+Inputs_IAS19!$C$26)^-(A70-0.5)</f>
        <v/>
      </c>
      <c r="J70">
        <f>H70*I70</f>
        <v/>
      </c>
      <c r="K70">
        <f>H70*INDEX(Curve_IAS19!$D$2:$D$101,A70)</f>
        <v/>
      </c>
    </row>
    <row r="71">
      <c r="A71" t="n">
        <v>53</v>
      </c>
      <c r="B71">
        <f>Inputs_IAS19!$C$2+A71</f>
        <v/>
      </c>
      <c r="C71">
        <f>$B$5+A71-1</f>
        <v/>
      </c>
      <c r="D71">
        <f>IF(C71&gt;=120,1,MIN(1,IF(A71&lt;=$B$6,IF($B$4="M",Inputs_IAS19!$C$13,Inputs_IAS19!$C$14),IF($B$4="M",Inputs_IAS19!$C$15,Inputs_IAS19!$C$16))*INDEX(ILT!$B$2:$C$122,MIN(C71,120)+1,IF($B$4="M",1,2))*(1-Inputs_IAS19!$C$17)^MAX(B71-Inputs_IAS19!$C$18,0)))</f>
        <v/>
      </c>
      <c r="E71">
        <f>E70*(1-D71)</f>
        <v/>
      </c>
      <c r="F71">
        <f>(E70+E71)/2</f>
        <v/>
      </c>
      <c r="G71">
        <f>G70*(1+IF(B71=Inputs_IAS19!$C$7,Inputs_IAS19!$C$8,Inputs_IAS19!$C$6))</f>
        <v/>
      </c>
      <c r="H71">
        <f>$B$7*G71*F71</f>
        <v/>
      </c>
      <c r="I71">
        <f>(1+Inputs_IAS19!$C$26)^-(A71-0.5)</f>
        <v/>
      </c>
      <c r="J71">
        <f>H71*I71</f>
        <v/>
      </c>
      <c r="K71">
        <f>H71*INDEX(Curve_IAS19!$D$2:$D$101,A71)</f>
        <v/>
      </c>
    </row>
    <row r="72">
      <c r="A72" t="n">
        <v>54</v>
      </c>
      <c r="B72">
        <f>Inputs_IAS19!$C$2+A72</f>
        <v/>
      </c>
      <c r="C72">
        <f>$B$5+A72-1</f>
        <v/>
      </c>
      <c r="D72">
        <f>IF(C72&gt;=120,1,MIN(1,IF(A72&lt;=$B$6,IF($B$4="M",Inputs_IAS19!$C$13,Inputs_IAS19!$C$14),IF($B$4="M",Inputs_IAS19!$C$15,Inputs_IAS19!$C$16))*INDEX(ILT!$B$2:$C$122,MIN(C72,120)+1,IF($B$4="M",1,2))*(1-Inputs_IAS19!$C$17)^MAX(B72-Inputs_IAS19!$C$18,0)))</f>
        <v/>
      </c>
      <c r="E72">
        <f>E71*(1-D72)</f>
        <v/>
      </c>
      <c r="F72">
        <f>(E71+E72)/2</f>
        <v/>
      </c>
      <c r="G72">
        <f>G71*(1+IF(B72=Inputs_IAS19!$C$7,Inputs_IAS19!$C$8,Inputs_IAS19!$C$6))</f>
        <v/>
      </c>
      <c r="H72">
        <f>$B$7*G72*F72</f>
        <v/>
      </c>
      <c r="I72">
        <f>(1+Inputs_IAS19!$C$26)^-(A72-0.5)</f>
        <v/>
      </c>
      <c r="J72">
        <f>H72*I72</f>
        <v/>
      </c>
      <c r="K72">
        <f>H72*INDEX(Curve_IAS19!$D$2:$D$101,A72)</f>
        <v/>
      </c>
    </row>
    <row r="73">
      <c r="A73" t="n">
        <v>55</v>
      </c>
      <c r="B73">
        <f>Inputs_IAS19!$C$2+A73</f>
        <v/>
      </c>
      <c r="C73">
        <f>$B$5+A73-1</f>
        <v/>
      </c>
      <c r="D73">
        <f>IF(C73&gt;=120,1,MIN(1,IF(A73&lt;=$B$6,IF($B$4="M",Inputs_IAS19!$C$13,Inputs_IAS19!$C$14),IF($B$4="M",Inputs_IAS19!$C$15,Inputs_IAS19!$C$16))*INDEX(ILT!$B$2:$C$122,MIN(C73,120)+1,IF($B$4="M",1,2))*(1-Inputs_IAS19!$C$17)^MAX(B73-Inputs_IAS19!$C$18,0)))</f>
        <v/>
      </c>
      <c r="E73">
        <f>E72*(1-D73)</f>
        <v/>
      </c>
      <c r="F73">
        <f>(E72+E73)/2</f>
        <v/>
      </c>
      <c r="G73">
        <f>G72*(1+IF(B73=Inputs_IAS19!$C$7,Inputs_IAS19!$C$8,Inputs_IAS19!$C$6))</f>
        <v/>
      </c>
      <c r="H73">
        <f>$B$7*G73*F73</f>
        <v/>
      </c>
      <c r="I73">
        <f>(1+Inputs_IAS19!$C$26)^-(A73-0.5)</f>
        <v/>
      </c>
      <c r="J73">
        <f>H73*I73</f>
        <v/>
      </c>
      <c r="K73">
        <f>H73*INDEX(Curve_IAS19!$D$2:$D$101,A73)</f>
        <v/>
      </c>
    </row>
    <row r="74">
      <c r="A74" t="n">
        <v>56</v>
      </c>
      <c r="B74">
        <f>Inputs_IAS19!$C$2+A74</f>
        <v/>
      </c>
      <c r="C74">
        <f>$B$5+A74-1</f>
        <v/>
      </c>
      <c r="D74">
        <f>IF(C74&gt;=120,1,MIN(1,IF(A74&lt;=$B$6,IF($B$4="M",Inputs_IAS19!$C$13,Inputs_IAS19!$C$14),IF($B$4="M",Inputs_IAS19!$C$15,Inputs_IAS19!$C$16))*INDEX(ILT!$B$2:$C$122,MIN(C74,120)+1,IF($B$4="M",1,2))*(1-Inputs_IAS19!$C$17)^MAX(B74-Inputs_IAS19!$C$18,0)))</f>
        <v/>
      </c>
      <c r="E74">
        <f>E73*(1-D74)</f>
        <v/>
      </c>
      <c r="F74">
        <f>(E73+E74)/2</f>
        <v/>
      </c>
      <c r="G74">
        <f>G73*(1+IF(B74=Inputs_IAS19!$C$7,Inputs_IAS19!$C$8,Inputs_IAS19!$C$6))</f>
        <v/>
      </c>
      <c r="H74">
        <f>$B$7*G74*F74</f>
        <v/>
      </c>
      <c r="I74">
        <f>(1+Inputs_IAS19!$C$26)^-(A74-0.5)</f>
        <v/>
      </c>
      <c r="J74">
        <f>H74*I74</f>
        <v/>
      </c>
      <c r="K74">
        <f>H74*INDEX(Curve_IAS19!$D$2:$D$101,A74)</f>
        <v/>
      </c>
    </row>
    <row r="75">
      <c r="A75" t="n">
        <v>57</v>
      </c>
      <c r="B75">
        <f>Inputs_IAS19!$C$2+A75</f>
        <v/>
      </c>
      <c r="C75">
        <f>$B$5+A75-1</f>
        <v/>
      </c>
      <c r="D75">
        <f>IF(C75&gt;=120,1,MIN(1,IF(A75&lt;=$B$6,IF($B$4="M",Inputs_IAS19!$C$13,Inputs_IAS19!$C$14),IF($B$4="M",Inputs_IAS19!$C$15,Inputs_IAS19!$C$16))*INDEX(ILT!$B$2:$C$122,MIN(C75,120)+1,IF($B$4="M",1,2))*(1-Inputs_IAS19!$C$17)^MAX(B75-Inputs_IAS19!$C$18,0)))</f>
        <v/>
      </c>
      <c r="E75">
        <f>E74*(1-D75)</f>
        <v/>
      </c>
      <c r="F75">
        <f>(E74+E75)/2</f>
        <v/>
      </c>
      <c r="G75">
        <f>G74*(1+IF(B75=Inputs_IAS19!$C$7,Inputs_IAS19!$C$8,Inputs_IAS19!$C$6))</f>
        <v/>
      </c>
      <c r="H75">
        <f>$B$7*G75*F75</f>
        <v/>
      </c>
      <c r="I75">
        <f>(1+Inputs_IAS19!$C$26)^-(A75-0.5)</f>
        <v/>
      </c>
      <c r="J75">
        <f>H75*I75</f>
        <v/>
      </c>
      <c r="K75">
        <f>H75*INDEX(Curve_IAS19!$D$2:$D$101,A75)</f>
        <v/>
      </c>
    </row>
    <row r="76">
      <c r="A76" t="n">
        <v>58</v>
      </c>
      <c r="B76">
        <f>Inputs_IAS19!$C$2+A76</f>
        <v/>
      </c>
      <c r="C76">
        <f>$B$5+A76-1</f>
        <v/>
      </c>
      <c r="D76">
        <f>IF(C76&gt;=120,1,MIN(1,IF(A76&lt;=$B$6,IF($B$4="M",Inputs_IAS19!$C$13,Inputs_IAS19!$C$14),IF($B$4="M",Inputs_IAS19!$C$15,Inputs_IAS19!$C$16))*INDEX(ILT!$B$2:$C$122,MIN(C76,120)+1,IF($B$4="M",1,2))*(1-Inputs_IAS19!$C$17)^MAX(B76-Inputs_IAS19!$C$18,0)))</f>
        <v/>
      </c>
      <c r="E76">
        <f>E75*(1-D76)</f>
        <v/>
      </c>
      <c r="F76">
        <f>(E75+E76)/2</f>
        <v/>
      </c>
      <c r="G76">
        <f>G75*(1+IF(B76=Inputs_IAS19!$C$7,Inputs_IAS19!$C$8,Inputs_IAS19!$C$6))</f>
        <v/>
      </c>
      <c r="H76">
        <f>$B$7*G76*F76</f>
        <v/>
      </c>
      <c r="I76">
        <f>(1+Inputs_IAS19!$C$26)^-(A76-0.5)</f>
        <v/>
      </c>
      <c r="J76">
        <f>H76*I76</f>
        <v/>
      </c>
      <c r="K76">
        <f>H76*INDEX(Curve_IAS19!$D$2:$D$101,A76)</f>
        <v/>
      </c>
    </row>
    <row r="77">
      <c r="A77" t="n">
        <v>59</v>
      </c>
      <c r="B77">
        <f>Inputs_IAS19!$C$2+A77</f>
        <v/>
      </c>
      <c r="C77">
        <f>$B$5+A77-1</f>
        <v/>
      </c>
      <c r="D77">
        <f>IF(C77&gt;=120,1,MIN(1,IF(A77&lt;=$B$6,IF($B$4="M",Inputs_IAS19!$C$13,Inputs_IAS19!$C$14),IF($B$4="M",Inputs_IAS19!$C$15,Inputs_IAS19!$C$16))*INDEX(ILT!$B$2:$C$122,MIN(C77,120)+1,IF($B$4="M",1,2))*(1-Inputs_IAS19!$C$17)^MAX(B77-Inputs_IAS19!$C$18,0)))</f>
        <v/>
      </c>
      <c r="E77">
        <f>E76*(1-D77)</f>
        <v/>
      </c>
      <c r="F77">
        <f>(E76+E77)/2</f>
        <v/>
      </c>
      <c r="G77">
        <f>G76*(1+IF(B77=Inputs_IAS19!$C$7,Inputs_IAS19!$C$8,Inputs_IAS19!$C$6))</f>
        <v/>
      </c>
      <c r="H77">
        <f>$B$7*G77*F77</f>
        <v/>
      </c>
      <c r="I77">
        <f>(1+Inputs_IAS19!$C$26)^-(A77-0.5)</f>
        <v/>
      </c>
      <c r="J77">
        <f>H77*I77</f>
        <v/>
      </c>
      <c r="K77">
        <f>H77*INDEX(Curve_IAS19!$D$2:$D$101,A77)</f>
        <v/>
      </c>
    </row>
    <row r="78">
      <c r="A78" t="n">
        <v>60</v>
      </c>
      <c r="B78">
        <f>Inputs_IAS19!$C$2+A78</f>
        <v/>
      </c>
      <c r="C78">
        <f>$B$5+A78-1</f>
        <v/>
      </c>
      <c r="D78">
        <f>IF(C78&gt;=120,1,MIN(1,IF(A78&lt;=$B$6,IF($B$4="M",Inputs_IAS19!$C$13,Inputs_IAS19!$C$14),IF($B$4="M",Inputs_IAS19!$C$15,Inputs_IAS19!$C$16))*INDEX(ILT!$B$2:$C$122,MIN(C78,120)+1,IF($B$4="M",1,2))*(1-Inputs_IAS19!$C$17)^MAX(B78-Inputs_IAS19!$C$18,0)))</f>
        <v/>
      </c>
      <c r="E78">
        <f>E77*(1-D78)</f>
        <v/>
      </c>
      <c r="F78">
        <f>(E77+E78)/2</f>
        <v/>
      </c>
      <c r="G78">
        <f>G77*(1+IF(B78=Inputs_IAS19!$C$7,Inputs_IAS19!$C$8,Inputs_IAS19!$C$6))</f>
        <v/>
      </c>
      <c r="H78">
        <f>$B$7*G78*F78</f>
        <v/>
      </c>
      <c r="I78">
        <f>(1+Inputs_IAS19!$C$26)^-(A78-0.5)</f>
        <v/>
      </c>
      <c r="J78">
        <f>H78*I78</f>
        <v/>
      </c>
      <c r="K78">
        <f>H78*INDEX(Curve_IAS19!$D$2:$D$101,A78)</f>
        <v/>
      </c>
    </row>
    <row r="79">
      <c r="A79" t="n">
        <v>61</v>
      </c>
      <c r="B79">
        <f>Inputs_IAS19!$C$2+A79</f>
        <v/>
      </c>
      <c r="C79">
        <f>$B$5+A79-1</f>
        <v/>
      </c>
      <c r="D79">
        <f>IF(C79&gt;=120,1,MIN(1,IF(A79&lt;=$B$6,IF($B$4="M",Inputs_IAS19!$C$13,Inputs_IAS19!$C$14),IF($B$4="M",Inputs_IAS19!$C$15,Inputs_IAS19!$C$16))*INDEX(ILT!$B$2:$C$122,MIN(C79,120)+1,IF($B$4="M",1,2))*(1-Inputs_IAS19!$C$17)^MAX(B79-Inputs_IAS19!$C$18,0)))</f>
        <v/>
      </c>
      <c r="E79">
        <f>E78*(1-D79)</f>
        <v/>
      </c>
      <c r="F79">
        <f>(E78+E79)/2</f>
        <v/>
      </c>
      <c r="G79">
        <f>G78*(1+IF(B79=Inputs_IAS19!$C$7,Inputs_IAS19!$C$8,Inputs_IAS19!$C$6))</f>
        <v/>
      </c>
      <c r="H79">
        <f>$B$7*G79*F79</f>
        <v/>
      </c>
      <c r="I79">
        <f>(1+Inputs_IAS19!$C$26)^-(A79-0.5)</f>
        <v/>
      </c>
      <c r="J79">
        <f>H79*I79</f>
        <v/>
      </c>
      <c r="K79">
        <f>H79*INDEX(Curve_IAS19!$D$2:$D$101,A79)</f>
        <v/>
      </c>
    </row>
    <row r="80">
      <c r="A80" t="n">
        <v>62</v>
      </c>
      <c r="B80">
        <f>Inputs_IAS19!$C$2+A80</f>
        <v/>
      </c>
      <c r="C80">
        <f>$B$5+A80-1</f>
        <v/>
      </c>
      <c r="D80">
        <f>IF(C80&gt;=120,1,MIN(1,IF(A80&lt;=$B$6,IF($B$4="M",Inputs_IAS19!$C$13,Inputs_IAS19!$C$14),IF($B$4="M",Inputs_IAS19!$C$15,Inputs_IAS19!$C$16))*INDEX(ILT!$B$2:$C$122,MIN(C80,120)+1,IF($B$4="M",1,2))*(1-Inputs_IAS19!$C$17)^MAX(B80-Inputs_IAS19!$C$18,0)))</f>
        <v/>
      </c>
      <c r="E80">
        <f>E79*(1-D80)</f>
        <v/>
      </c>
      <c r="F80">
        <f>(E79+E80)/2</f>
        <v/>
      </c>
      <c r="G80">
        <f>G79*(1+IF(B80=Inputs_IAS19!$C$7,Inputs_IAS19!$C$8,Inputs_IAS19!$C$6))</f>
        <v/>
      </c>
      <c r="H80">
        <f>$B$7*G80*F80</f>
        <v/>
      </c>
      <c r="I80">
        <f>(1+Inputs_IAS19!$C$26)^-(A80-0.5)</f>
        <v/>
      </c>
      <c r="J80">
        <f>H80*I80</f>
        <v/>
      </c>
      <c r="K80">
        <f>H80*INDEX(Curve_IAS19!$D$2:$D$101,A80)</f>
        <v/>
      </c>
    </row>
    <row r="81">
      <c r="A81" t="n">
        <v>63</v>
      </c>
      <c r="B81">
        <f>Inputs_IAS19!$C$2+A81</f>
        <v/>
      </c>
      <c r="C81">
        <f>$B$5+A81-1</f>
        <v/>
      </c>
      <c r="D81">
        <f>IF(C81&gt;=120,1,MIN(1,IF(A81&lt;=$B$6,IF($B$4="M",Inputs_IAS19!$C$13,Inputs_IAS19!$C$14),IF($B$4="M",Inputs_IAS19!$C$15,Inputs_IAS19!$C$16))*INDEX(ILT!$B$2:$C$122,MIN(C81,120)+1,IF($B$4="M",1,2))*(1-Inputs_IAS19!$C$17)^MAX(B81-Inputs_IAS19!$C$18,0)))</f>
        <v/>
      </c>
      <c r="E81">
        <f>E80*(1-D81)</f>
        <v/>
      </c>
      <c r="F81">
        <f>(E80+E81)/2</f>
        <v/>
      </c>
      <c r="G81">
        <f>G80*(1+IF(B81=Inputs_IAS19!$C$7,Inputs_IAS19!$C$8,Inputs_IAS19!$C$6))</f>
        <v/>
      </c>
      <c r="H81">
        <f>$B$7*G81*F81</f>
        <v/>
      </c>
      <c r="I81">
        <f>(1+Inputs_IAS19!$C$26)^-(A81-0.5)</f>
        <v/>
      </c>
      <c r="J81">
        <f>H81*I81</f>
        <v/>
      </c>
      <c r="K81">
        <f>H81*INDEX(Curve_IAS19!$D$2:$D$101,A81)</f>
        <v/>
      </c>
    </row>
    <row r="82">
      <c r="A82" t="n">
        <v>64</v>
      </c>
      <c r="B82">
        <f>Inputs_IAS19!$C$2+A82</f>
        <v/>
      </c>
      <c r="C82">
        <f>$B$5+A82-1</f>
        <v/>
      </c>
      <c r="D82">
        <f>IF(C82&gt;=120,1,MIN(1,IF(A82&lt;=$B$6,IF($B$4="M",Inputs_IAS19!$C$13,Inputs_IAS19!$C$14),IF($B$4="M",Inputs_IAS19!$C$15,Inputs_IAS19!$C$16))*INDEX(ILT!$B$2:$C$122,MIN(C82,120)+1,IF($B$4="M",1,2))*(1-Inputs_IAS19!$C$17)^MAX(B82-Inputs_IAS19!$C$18,0)))</f>
        <v/>
      </c>
      <c r="E82">
        <f>E81*(1-D82)</f>
        <v/>
      </c>
      <c r="F82">
        <f>(E81+E82)/2</f>
        <v/>
      </c>
      <c r="G82">
        <f>G81*(1+IF(B82=Inputs_IAS19!$C$7,Inputs_IAS19!$C$8,Inputs_IAS19!$C$6))</f>
        <v/>
      </c>
      <c r="H82">
        <f>$B$7*G82*F82</f>
        <v/>
      </c>
      <c r="I82">
        <f>(1+Inputs_IAS19!$C$26)^-(A82-0.5)</f>
        <v/>
      </c>
      <c r="J82">
        <f>H82*I82</f>
        <v/>
      </c>
      <c r="K82">
        <f>H82*INDEX(Curve_IAS19!$D$2:$D$101,A82)</f>
        <v/>
      </c>
    </row>
    <row r="83">
      <c r="A83" t="n">
        <v>65</v>
      </c>
      <c r="B83">
        <f>Inputs_IAS19!$C$2+A83</f>
        <v/>
      </c>
      <c r="C83">
        <f>$B$5+A83-1</f>
        <v/>
      </c>
      <c r="D83">
        <f>IF(C83&gt;=120,1,MIN(1,IF(A83&lt;=$B$6,IF($B$4="M",Inputs_IAS19!$C$13,Inputs_IAS19!$C$14),IF($B$4="M",Inputs_IAS19!$C$15,Inputs_IAS19!$C$16))*INDEX(ILT!$B$2:$C$122,MIN(C83,120)+1,IF($B$4="M",1,2))*(1-Inputs_IAS19!$C$17)^MAX(B83-Inputs_IAS19!$C$18,0)))</f>
        <v/>
      </c>
      <c r="E83">
        <f>E82*(1-D83)</f>
        <v/>
      </c>
      <c r="F83">
        <f>(E82+E83)/2</f>
        <v/>
      </c>
      <c r="G83">
        <f>G82*(1+IF(B83=Inputs_IAS19!$C$7,Inputs_IAS19!$C$8,Inputs_IAS19!$C$6))</f>
        <v/>
      </c>
      <c r="H83">
        <f>$B$7*G83*F83</f>
        <v/>
      </c>
      <c r="I83">
        <f>(1+Inputs_IAS19!$C$26)^-(A83-0.5)</f>
        <v/>
      </c>
      <c r="J83">
        <f>H83*I83</f>
        <v/>
      </c>
      <c r="K83">
        <f>H83*INDEX(Curve_IAS19!$D$2:$D$101,A83)</f>
        <v/>
      </c>
    </row>
    <row r="84">
      <c r="A84" t="n">
        <v>66</v>
      </c>
      <c r="B84">
        <f>Inputs_IAS19!$C$2+A84</f>
        <v/>
      </c>
      <c r="C84">
        <f>$B$5+A84-1</f>
        <v/>
      </c>
      <c r="D84">
        <f>IF(C84&gt;=120,1,MIN(1,IF(A84&lt;=$B$6,IF($B$4="M",Inputs_IAS19!$C$13,Inputs_IAS19!$C$14),IF($B$4="M",Inputs_IAS19!$C$15,Inputs_IAS19!$C$16))*INDEX(ILT!$B$2:$C$122,MIN(C84,120)+1,IF($B$4="M",1,2))*(1-Inputs_IAS19!$C$17)^MAX(B84-Inputs_IAS19!$C$18,0)))</f>
        <v/>
      </c>
      <c r="E84">
        <f>E83*(1-D84)</f>
        <v/>
      </c>
      <c r="F84">
        <f>(E83+E84)/2</f>
        <v/>
      </c>
      <c r="G84">
        <f>G83*(1+IF(B84=Inputs_IAS19!$C$7,Inputs_IAS19!$C$8,Inputs_IAS19!$C$6))</f>
        <v/>
      </c>
      <c r="H84">
        <f>$B$7*G84*F84</f>
        <v/>
      </c>
      <c r="I84">
        <f>(1+Inputs_IAS19!$C$26)^-(A84-0.5)</f>
        <v/>
      </c>
      <c r="J84">
        <f>H84*I84</f>
        <v/>
      </c>
      <c r="K84">
        <f>H84*INDEX(Curve_IAS19!$D$2:$D$101,A84)</f>
        <v/>
      </c>
    </row>
    <row r="85">
      <c r="A85" t="n">
        <v>67</v>
      </c>
      <c r="B85">
        <f>Inputs_IAS19!$C$2+A85</f>
        <v/>
      </c>
      <c r="C85">
        <f>$B$5+A85-1</f>
        <v/>
      </c>
      <c r="D85">
        <f>IF(C85&gt;=120,1,MIN(1,IF(A85&lt;=$B$6,IF($B$4="M",Inputs_IAS19!$C$13,Inputs_IAS19!$C$14),IF($B$4="M",Inputs_IAS19!$C$15,Inputs_IAS19!$C$16))*INDEX(ILT!$B$2:$C$122,MIN(C85,120)+1,IF($B$4="M",1,2))*(1-Inputs_IAS19!$C$17)^MAX(B85-Inputs_IAS19!$C$18,0)))</f>
        <v/>
      </c>
      <c r="E85">
        <f>E84*(1-D85)</f>
        <v/>
      </c>
      <c r="F85">
        <f>(E84+E85)/2</f>
        <v/>
      </c>
      <c r="G85">
        <f>G84*(1+IF(B85=Inputs_IAS19!$C$7,Inputs_IAS19!$C$8,Inputs_IAS19!$C$6))</f>
        <v/>
      </c>
      <c r="H85">
        <f>$B$7*G85*F85</f>
        <v/>
      </c>
      <c r="I85">
        <f>(1+Inputs_IAS19!$C$26)^-(A85-0.5)</f>
        <v/>
      </c>
      <c r="J85">
        <f>H85*I85</f>
        <v/>
      </c>
      <c r="K85">
        <f>H85*INDEX(Curve_IAS19!$D$2:$D$101,A85)</f>
        <v/>
      </c>
    </row>
    <row r="86">
      <c r="A86" t="n">
        <v>68</v>
      </c>
      <c r="B86">
        <f>Inputs_IAS19!$C$2+A86</f>
        <v/>
      </c>
      <c r="C86">
        <f>$B$5+A86-1</f>
        <v/>
      </c>
      <c r="D86">
        <f>IF(C86&gt;=120,1,MIN(1,IF(A86&lt;=$B$6,IF($B$4="M",Inputs_IAS19!$C$13,Inputs_IAS19!$C$14),IF($B$4="M",Inputs_IAS19!$C$15,Inputs_IAS19!$C$16))*INDEX(ILT!$B$2:$C$122,MIN(C86,120)+1,IF($B$4="M",1,2))*(1-Inputs_IAS19!$C$17)^MAX(B86-Inputs_IAS19!$C$18,0)))</f>
        <v/>
      </c>
      <c r="E86">
        <f>E85*(1-D86)</f>
        <v/>
      </c>
      <c r="F86">
        <f>(E85+E86)/2</f>
        <v/>
      </c>
      <c r="G86">
        <f>G85*(1+IF(B86=Inputs_IAS19!$C$7,Inputs_IAS19!$C$8,Inputs_IAS19!$C$6))</f>
        <v/>
      </c>
      <c r="H86">
        <f>$B$7*G86*F86</f>
        <v/>
      </c>
      <c r="I86">
        <f>(1+Inputs_IAS19!$C$26)^-(A86-0.5)</f>
        <v/>
      </c>
      <c r="J86">
        <f>H86*I86</f>
        <v/>
      </c>
      <c r="K86">
        <f>H86*INDEX(Curve_IAS19!$D$2:$D$101,A86)</f>
        <v/>
      </c>
    </row>
    <row r="87">
      <c r="A87" t="n">
        <v>69</v>
      </c>
      <c r="B87">
        <f>Inputs_IAS19!$C$2+A87</f>
        <v/>
      </c>
      <c r="C87">
        <f>$B$5+A87-1</f>
        <v/>
      </c>
      <c r="D87">
        <f>IF(C87&gt;=120,1,MIN(1,IF(A87&lt;=$B$6,IF($B$4="M",Inputs_IAS19!$C$13,Inputs_IAS19!$C$14),IF($B$4="M",Inputs_IAS19!$C$15,Inputs_IAS19!$C$16))*INDEX(ILT!$B$2:$C$122,MIN(C87,120)+1,IF($B$4="M",1,2))*(1-Inputs_IAS19!$C$17)^MAX(B87-Inputs_IAS19!$C$18,0)))</f>
        <v/>
      </c>
      <c r="E87">
        <f>E86*(1-D87)</f>
        <v/>
      </c>
      <c r="F87">
        <f>(E86+E87)/2</f>
        <v/>
      </c>
      <c r="G87">
        <f>G86*(1+IF(B87=Inputs_IAS19!$C$7,Inputs_IAS19!$C$8,Inputs_IAS19!$C$6))</f>
        <v/>
      </c>
      <c r="H87">
        <f>$B$7*G87*F87</f>
        <v/>
      </c>
      <c r="I87">
        <f>(1+Inputs_IAS19!$C$26)^-(A87-0.5)</f>
        <v/>
      </c>
      <c r="J87">
        <f>H87*I87</f>
        <v/>
      </c>
      <c r="K87">
        <f>H87*INDEX(Curve_IAS19!$D$2:$D$101,A87)</f>
        <v/>
      </c>
    </row>
    <row r="88">
      <c r="A88" t="n">
        <v>70</v>
      </c>
      <c r="B88">
        <f>Inputs_IAS19!$C$2+A88</f>
        <v/>
      </c>
      <c r="C88">
        <f>$B$5+A88-1</f>
        <v/>
      </c>
      <c r="D88">
        <f>IF(C88&gt;=120,1,MIN(1,IF(A88&lt;=$B$6,IF($B$4="M",Inputs_IAS19!$C$13,Inputs_IAS19!$C$14),IF($B$4="M",Inputs_IAS19!$C$15,Inputs_IAS19!$C$16))*INDEX(ILT!$B$2:$C$122,MIN(C88,120)+1,IF($B$4="M",1,2))*(1-Inputs_IAS19!$C$17)^MAX(B88-Inputs_IAS19!$C$18,0)))</f>
        <v/>
      </c>
      <c r="E88">
        <f>E87*(1-D88)</f>
        <v/>
      </c>
      <c r="F88">
        <f>(E87+E88)/2</f>
        <v/>
      </c>
      <c r="G88">
        <f>G87*(1+IF(B88=Inputs_IAS19!$C$7,Inputs_IAS19!$C$8,Inputs_IAS19!$C$6))</f>
        <v/>
      </c>
      <c r="H88">
        <f>$B$7*G88*F88</f>
        <v/>
      </c>
      <c r="I88">
        <f>(1+Inputs_IAS19!$C$26)^-(A88-0.5)</f>
        <v/>
      </c>
      <c r="J88">
        <f>H88*I88</f>
        <v/>
      </c>
      <c r="K88">
        <f>H88*INDEX(Curve_IAS19!$D$2:$D$101,A88)</f>
        <v/>
      </c>
    </row>
    <row r="89">
      <c r="A89" t="n">
        <v>71</v>
      </c>
      <c r="B89">
        <f>Inputs_IAS19!$C$2+A89</f>
        <v/>
      </c>
      <c r="C89">
        <f>$B$5+A89-1</f>
        <v/>
      </c>
      <c r="D89">
        <f>IF(C89&gt;=120,1,MIN(1,IF(A89&lt;=$B$6,IF($B$4="M",Inputs_IAS19!$C$13,Inputs_IAS19!$C$14),IF($B$4="M",Inputs_IAS19!$C$15,Inputs_IAS19!$C$16))*INDEX(ILT!$B$2:$C$122,MIN(C89,120)+1,IF($B$4="M",1,2))*(1-Inputs_IAS19!$C$17)^MAX(B89-Inputs_IAS19!$C$18,0)))</f>
        <v/>
      </c>
      <c r="E89">
        <f>E88*(1-D89)</f>
        <v/>
      </c>
      <c r="F89">
        <f>(E88+E89)/2</f>
        <v/>
      </c>
      <c r="G89">
        <f>G88*(1+IF(B89=Inputs_IAS19!$C$7,Inputs_IAS19!$C$8,Inputs_IAS19!$C$6))</f>
        <v/>
      </c>
      <c r="H89">
        <f>$B$7*G89*F89</f>
        <v/>
      </c>
      <c r="I89">
        <f>(1+Inputs_IAS19!$C$26)^-(A89-0.5)</f>
        <v/>
      </c>
      <c r="J89">
        <f>H89*I89</f>
        <v/>
      </c>
      <c r="K89">
        <f>H89*INDEX(Curve_IAS19!$D$2:$D$101,A89)</f>
        <v/>
      </c>
    </row>
    <row r="90">
      <c r="A90" t="n">
        <v>72</v>
      </c>
      <c r="B90">
        <f>Inputs_IAS19!$C$2+A90</f>
        <v/>
      </c>
      <c r="C90">
        <f>$B$5+A90-1</f>
        <v/>
      </c>
      <c r="D90">
        <f>IF(C90&gt;=120,1,MIN(1,IF(A90&lt;=$B$6,IF($B$4="M",Inputs_IAS19!$C$13,Inputs_IAS19!$C$14),IF($B$4="M",Inputs_IAS19!$C$15,Inputs_IAS19!$C$16))*INDEX(ILT!$B$2:$C$122,MIN(C90,120)+1,IF($B$4="M",1,2))*(1-Inputs_IAS19!$C$17)^MAX(B90-Inputs_IAS19!$C$18,0)))</f>
        <v/>
      </c>
      <c r="E90">
        <f>E89*(1-D90)</f>
        <v/>
      </c>
      <c r="F90">
        <f>(E89+E90)/2</f>
        <v/>
      </c>
      <c r="G90">
        <f>G89*(1+IF(B90=Inputs_IAS19!$C$7,Inputs_IAS19!$C$8,Inputs_IAS19!$C$6))</f>
        <v/>
      </c>
      <c r="H90">
        <f>$B$7*G90*F90</f>
        <v/>
      </c>
      <c r="I90">
        <f>(1+Inputs_IAS19!$C$26)^-(A90-0.5)</f>
        <v/>
      </c>
      <c r="J90">
        <f>H90*I90</f>
        <v/>
      </c>
      <c r="K90">
        <f>H90*INDEX(Curve_IAS19!$D$2:$D$101,A90)</f>
        <v/>
      </c>
    </row>
    <row r="91">
      <c r="A91" t="n">
        <v>73</v>
      </c>
      <c r="B91">
        <f>Inputs_IAS19!$C$2+A91</f>
        <v/>
      </c>
      <c r="C91">
        <f>$B$5+A91-1</f>
        <v/>
      </c>
      <c r="D91">
        <f>IF(C91&gt;=120,1,MIN(1,IF(A91&lt;=$B$6,IF($B$4="M",Inputs_IAS19!$C$13,Inputs_IAS19!$C$14),IF($B$4="M",Inputs_IAS19!$C$15,Inputs_IAS19!$C$16))*INDEX(ILT!$B$2:$C$122,MIN(C91,120)+1,IF($B$4="M",1,2))*(1-Inputs_IAS19!$C$17)^MAX(B91-Inputs_IAS19!$C$18,0)))</f>
        <v/>
      </c>
      <c r="E91">
        <f>E90*(1-D91)</f>
        <v/>
      </c>
      <c r="F91">
        <f>(E90+E91)/2</f>
        <v/>
      </c>
      <c r="G91">
        <f>G90*(1+IF(B91=Inputs_IAS19!$C$7,Inputs_IAS19!$C$8,Inputs_IAS19!$C$6))</f>
        <v/>
      </c>
      <c r="H91">
        <f>$B$7*G91*F91</f>
        <v/>
      </c>
      <c r="I91">
        <f>(1+Inputs_IAS19!$C$26)^-(A91-0.5)</f>
        <v/>
      </c>
      <c r="J91">
        <f>H91*I91</f>
        <v/>
      </c>
      <c r="K91">
        <f>H91*INDEX(Curve_IAS19!$D$2:$D$101,A91)</f>
        <v/>
      </c>
    </row>
    <row r="92">
      <c r="A92" t="n">
        <v>74</v>
      </c>
      <c r="B92">
        <f>Inputs_IAS19!$C$2+A92</f>
        <v/>
      </c>
      <c r="C92">
        <f>$B$5+A92-1</f>
        <v/>
      </c>
      <c r="D92">
        <f>IF(C92&gt;=120,1,MIN(1,IF(A92&lt;=$B$6,IF($B$4="M",Inputs_IAS19!$C$13,Inputs_IAS19!$C$14),IF($B$4="M",Inputs_IAS19!$C$15,Inputs_IAS19!$C$16))*INDEX(ILT!$B$2:$C$122,MIN(C92,120)+1,IF($B$4="M",1,2))*(1-Inputs_IAS19!$C$17)^MAX(B92-Inputs_IAS19!$C$18,0)))</f>
        <v/>
      </c>
      <c r="E92">
        <f>E91*(1-D92)</f>
        <v/>
      </c>
      <c r="F92">
        <f>(E91+E92)/2</f>
        <v/>
      </c>
      <c r="G92">
        <f>G91*(1+IF(B92=Inputs_IAS19!$C$7,Inputs_IAS19!$C$8,Inputs_IAS19!$C$6))</f>
        <v/>
      </c>
      <c r="H92">
        <f>$B$7*G92*F92</f>
        <v/>
      </c>
      <c r="I92">
        <f>(1+Inputs_IAS19!$C$26)^-(A92-0.5)</f>
        <v/>
      </c>
      <c r="J92">
        <f>H92*I92</f>
        <v/>
      </c>
      <c r="K92">
        <f>H92*INDEX(Curve_IAS19!$D$2:$D$101,A92)</f>
        <v/>
      </c>
    </row>
    <row r="93">
      <c r="A93" t="n">
        <v>75</v>
      </c>
      <c r="B93">
        <f>Inputs_IAS19!$C$2+A93</f>
        <v/>
      </c>
      <c r="C93">
        <f>$B$5+A93-1</f>
        <v/>
      </c>
      <c r="D93">
        <f>IF(C93&gt;=120,1,MIN(1,IF(A93&lt;=$B$6,IF($B$4="M",Inputs_IAS19!$C$13,Inputs_IAS19!$C$14),IF($B$4="M",Inputs_IAS19!$C$15,Inputs_IAS19!$C$16))*INDEX(ILT!$B$2:$C$122,MIN(C93,120)+1,IF($B$4="M",1,2))*(1-Inputs_IAS19!$C$17)^MAX(B93-Inputs_IAS19!$C$18,0)))</f>
        <v/>
      </c>
      <c r="E93">
        <f>E92*(1-D93)</f>
        <v/>
      </c>
      <c r="F93">
        <f>(E92+E93)/2</f>
        <v/>
      </c>
      <c r="G93">
        <f>G92*(1+IF(B93=Inputs_IAS19!$C$7,Inputs_IAS19!$C$8,Inputs_IAS19!$C$6))</f>
        <v/>
      </c>
      <c r="H93">
        <f>$B$7*G93*F93</f>
        <v/>
      </c>
      <c r="I93">
        <f>(1+Inputs_IAS19!$C$26)^-(A93-0.5)</f>
        <v/>
      </c>
      <c r="J93">
        <f>H93*I93</f>
        <v/>
      </c>
      <c r="K93">
        <f>H93*INDEX(Curve_IAS19!$D$2:$D$101,A93)</f>
        <v/>
      </c>
    </row>
    <row r="94">
      <c r="A94" t="n">
        <v>76</v>
      </c>
      <c r="B94">
        <f>Inputs_IAS19!$C$2+A94</f>
        <v/>
      </c>
      <c r="C94">
        <f>$B$5+A94-1</f>
        <v/>
      </c>
      <c r="D94">
        <f>IF(C94&gt;=120,1,MIN(1,IF(A94&lt;=$B$6,IF($B$4="M",Inputs_IAS19!$C$13,Inputs_IAS19!$C$14),IF($B$4="M",Inputs_IAS19!$C$15,Inputs_IAS19!$C$16))*INDEX(ILT!$B$2:$C$122,MIN(C94,120)+1,IF($B$4="M",1,2))*(1-Inputs_IAS19!$C$17)^MAX(B94-Inputs_IAS19!$C$18,0)))</f>
        <v/>
      </c>
      <c r="E94">
        <f>E93*(1-D94)</f>
        <v/>
      </c>
      <c r="F94">
        <f>(E93+E94)/2</f>
        <v/>
      </c>
      <c r="G94">
        <f>G93*(1+IF(B94=Inputs_IAS19!$C$7,Inputs_IAS19!$C$8,Inputs_IAS19!$C$6))</f>
        <v/>
      </c>
      <c r="H94">
        <f>$B$7*G94*F94</f>
        <v/>
      </c>
      <c r="I94">
        <f>(1+Inputs_IAS19!$C$26)^-(A94-0.5)</f>
        <v/>
      </c>
      <c r="J94">
        <f>H94*I94</f>
        <v/>
      </c>
      <c r="K94">
        <f>H94*INDEX(Curve_IAS19!$D$2:$D$101,A94)</f>
        <v/>
      </c>
    </row>
    <row r="95">
      <c r="A95" t="n">
        <v>77</v>
      </c>
      <c r="B95">
        <f>Inputs_IAS19!$C$2+A95</f>
        <v/>
      </c>
      <c r="C95">
        <f>$B$5+A95-1</f>
        <v/>
      </c>
      <c r="D95">
        <f>IF(C95&gt;=120,1,MIN(1,IF(A95&lt;=$B$6,IF($B$4="M",Inputs_IAS19!$C$13,Inputs_IAS19!$C$14),IF($B$4="M",Inputs_IAS19!$C$15,Inputs_IAS19!$C$16))*INDEX(ILT!$B$2:$C$122,MIN(C95,120)+1,IF($B$4="M",1,2))*(1-Inputs_IAS19!$C$17)^MAX(B95-Inputs_IAS19!$C$18,0)))</f>
        <v/>
      </c>
      <c r="E95">
        <f>E94*(1-D95)</f>
        <v/>
      </c>
      <c r="F95">
        <f>(E94+E95)/2</f>
        <v/>
      </c>
      <c r="G95">
        <f>G94*(1+IF(B95=Inputs_IAS19!$C$7,Inputs_IAS19!$C$8,Inputs_IAS19!$C$6))</f>
        <v/>
      </c>
      <c r="H95">
        <f>$B$7*G95*F95</f>
        <v/>
      </c>
      <c r="I95">
        <f>(1+Inputs_IAS19!$C$26)^-(A95-0.5)</f>
        <v/>
      </c>
      <c r="J95">
        <f>H95*I95</f>
        <v/>
      </c>
      <c r="K95">
        <f>H95*INDEX(Curve_IAS19!$D$2:$D$101,A95)</f>
        <v/>
      </c>
    </row>
    <row r="96">
      <c r="A96" t="n">
        <v>78</v>
      </c>
      <c r="B96">
        <f>Inputs_IAS19!$C$2+A96</f>
        <v/>
      </c>
      <c r="C96">
        <f>$B$5+A96-1</f>
        <v/>
      </c>
      <c r="D96">
        <f>IF(C96&gt;=120,1,MIN(1,IF(A96&lt;=$B$6,IF($B$4="M",Inputs_IAS19!$C$13,Inputs_IAS19!$C$14),IF($B$4="M",Inputs_IAS19!$C$15,Inputs_IAS19!$C$16))*INDEX(ILT!$B$2:$C$122,MIN(C96,120)+1,IF($B$4="M",1,2))*(1-Inputs_IAS19!$C$17)^MAX(B96-Inputs_IAS19!$C$18,0)))</f>
        <v/>
      </c>
      <c r="E96">
        <f>E95*(1-D96)</f>
        <v/>
      </c>
      <c r="F96">
        <f>(E95+E96)/2</f>
        <v/>
      </c>
      <c r="G96">
        <f>G95*(1+IF(B96=Inputs_IAS19!$C$7,Inputs_IAS19!$C$8,Inputs_IAS19!$C$6))</f>
        <v/>
      </c>
      <c r="H96">
        <f>$B$7*G96*F96</f>
        <v/>
      </c>
      <c r="I96">
        <f>(1+Inputs_IAS19!$C$26)^-(A96-0.5)</f>
        <v/>
      </c>
      <c r="J96">
        <f>H96*I96</f>
        <v/>
      </c>
      <c r="K96">
        <f>H96*INDEX(Curve_IAS19!$D$2:$D$101,A96)</f>
        <v/>
      </c>
    </row>
    <row r="97">
      <c r="A97" t="n">
        <v>79</v>
      </c>
      <c r="B97">
        <f>Inputs_IAS19!$C$2+A97</f>
        <v/>
      </c>
      <c r="C97">
        <f>$B$5+A97-1</f>
        <v/>
      </c>
      <c r="D97">
        <f>IF(C97&gt;=120,1,MIN(1,IF(A97&lt;=$B$6,IF($B$4="M",Inputs_IAS19!$C$13,Inputs_IAS19!$C$14),IF($B$4="M",Inputs_IAS19!$C$15,Inputs_IAS19!$C$16))*INDEX(ILT!$B$2:$C$122,MIN(C97,120)+1,IF($B$4="M",1,2))*(1-Inputs_IAS19!$C$17)^MAX(B97-Inputs_IAS19!$C$18,0)))</f>
        <v/>
      </c>
      <c r="E97">
        <f>E96*(1-D97)</f>
        <v/>
      </c>
      <c r="F97">
        <f>(E96+E97)/2</f>
        <v/>
      </c>
      <c r="G97">
        <f>G96*(1+IF(B97=Inputs_IAS19!$C$7,Inputs_IAS19!$C$8,Inputs_IAS19!$C$6))</f>
        <v/>
      </c>
      <c r="H97">
        <f>$B$7*G97*F97</f>
        <v/>
      </c>
      <c r="I97">
        <f>(1+Inputs_IAS19!$C$26)^-(A97-0.5)</f>
        <v/>
      </c>
      <c r="J97">
        <f>H97*I97</f>
        <v/>
      </c>
      <c r="K97">
        <f>H97*INDEX(Curve_IAS19!$D$2:$D$101,A97)</f>
        <v/>
      </c>
    </row>
    <row r="98">
      <c r="A98" t="n">
        <v>80</v>
      </c>
      <c r="B98">
        <f>Inputs_IAS19!$C$2+A98</f>
        <v/>
      </c>
      <c r="C98">
        <f>$B$5+A98-1</f>
        <v/>
      </c>
      <c r="D98">
        <f>IF(C98&gt;=120,1,MIN(1,IF(A98&lt;=$B$6,IF($B$4="M",Inputs_IAS19!$C$13,Inputs_IAS19!$C$14),IF($B$4="M",Inputs_IAS19!$C$15,Inputs_IAS19!$C$16))*INDEX(ILT!$B$2:$C$122,MIN(C98,120)+1,IF($B$4="M",1,2))*(1-Inputs_IAS19!$C$17)^MAX(B98-Inputs_IAS19!$C$18,0)))</f>
        <v/>
      </c>
      <c r="E98">
        <f>E97*(1-D98)</f>
        <v/>
      </c>
      <c r="F98">
        <f>(E97+E98)/2</f>
        <v/>
      </c>
      <c r="G98">
        <f>G97*(1+IF(B98=Inputs_IAS19!$C$7,Inputs_IAS19!$C$8,Inputs_IAS19!$C$6))</f>
        <v/>
      </c>
      <c r="H98">
        <f>$B$7*G98*F98</f>
        <v/>
      </c>
      <c r="I98">
        <f>(1+Inputs_IAS19!$C$26)^-(A98-0.5)</f>
        <v/>
      </c>
      <c r="J98">
        <f>H98*I98</f>
        <v/>
      </c>
      <c r="K98">
        <f>H98*INDEX(Curve_IAS19!$D$2:$D$101,A98)</f>
        <v/>
      </c>
    </row>
    <row r="99">
      <c r="A99" t="n">
        <v>81</v>
      </c>
      <c r="B99">
        <f>Inputs_IAS19!$C$2+A99</f>
        <v/>
      </c>
      <c r="C99">
        <f>$B$5+A99-1</f>
        <v/>
      </c>
      <c r="D99">
        <f>IF(C99&gt;=120,1,MIN(1,IF(A99&lt;=$B$6,IF($B$4="M",Inputs_IAS19!$C$13,Inputs_IAS19!$C$14),IF($B$4="M",Inputs_IAS19!$C$15,Inputs_IAS19!$C$16))*INDEX(ILT!$B$2:$C$122,MIN(C99,120)+1,IF($B$4="M",1,2))*(1-Inputs_IAS19!$C$17)^MAX(B99-Inputs_IAS19!$C$18,0)))</f>
        <v/>
      </c>
      <c r="E99">
        <f>E98*(1-D99)</f>
        <v/>
      </c>
      <c r="F99">
        <f>(E98+E99)/2</f>
        <v/>
      </c>
      <c r="G99">
        <f>G98*(1+IF(B99=Inputs_IAS19!$C$7,Inputs_IAS19!$C$8,Inputs_IAS19!$C$6))</f>
        <v/>
      </c>
      <c r="H99">
        <f>$B$7*G99*F99</f>
        <v/>
      </c>
      <c r="I99">
        <f>(1+Inputs_IAS19!$C$26)^-(A99-0.5)</f>
        <v/>
      </c>
      <c r="J99">
        <f>H99*I99</f>
        <v/>
      </c>
      <c r="K99">
        <f>H99*INDEX(Curve_IAS19!$D$2:$D$101,A99)</f>
        <v/>
      </c>
    </row>
    <row r="100">
      <c r="A100" t="n">
        <v>82</v>
      </c>
      <c r="B100">
        <f>Inputs_IAS19!$C$2+A100</f>
        <v/>
      </c>
      <c r="C100">
        <f>$B$5+A100-1</f>
        <v/>
      </c>
      <c r="D100">
        <f>IF(C100&gt;=120,1,MIN(1,IF(A100&lt;=$B$6,IF($B$4="M",Inputs_IAS19!$C$13,Inputs_IAS19!$C$14),IF($B$4="M",Inputs_IAS19!$C$15,Inputs_IAS19!$C$16))*INDEX(ILT!$B$2:$C$122,MIN(C100,120)+1,IF($B$4="M",1,2))*(1-Inputs_IAS19!$C$17)^MAX(B100-Inputs_IAS19!$C$18,0)))</f>
        <v/>
      </c>
      <c r="E100">
        <f>E99*(1-D100)</f>
        <v/>
      </c>
      <c r="F100">
        <f>(E99+E100)/2</f>
        <v/>
      </c>
      <c r="G100">
        <f>G99*(1+IF(B100=Inputs_IAS19!$C$7,Inputs_IAS19!$C$8,Inputs_IAS19!$C$6))</f>
        <v/>
      </c>
      <c r="H100">
        <f>$B$7*G100*F100</f>
        <v/>
      </c>
      <c r="I100">
        <f>(1+Inputs_IAS19!$C$26)^-(A100-0.5)</f>
        <v/>
      </c>
      <c r="J100">
        <f>H100*I100</f>
        <v/>
      </c>
      <c r="K100">
        <f>H100*INDEX(Curve_IAS19!$D$2:$D$101,A100)</f>
        <v/>
      </c>
    </row>
    <row r="101">
      <c r="A101" t="n">
        <v>83</v>
      </c>
      <c r="B101">
        <f>Inputs_IAS19!$C$2+A101</f>
        <v/>
      </c>
      <c r="C101">
        <f>$B$5+A101-1</f>
        <v/>
      </c>
      <c r="D101">
        <f>IF(C101&gt;=120,1,MIN(1,IF(A101&lt;=$B$6,IF($B$4="M",Inputs_IAS19!$C$13,Inputs_IAS19!$C$14),IF($B$4="M",Inputs_IAS19!$C$15,Inputs_IAS19!$C$16))*INDEX(ILT!$B$2:$C$122,MIN(C101,120)+1,IF($B$4="M",1,2))*(1-Inputs_IAS19!$C$17)^MAX(B101-Inputs_IAS19!$C$18,0)))</f>
        <v/>
      </c>
      <c r="E101">
        <f>E100*(1-D101)</f>
        <v/>
      </c>
      <c r="F101">
        <f>(E100+E101)/2</f>
        <v/>
      </c>
      <c r="G101">
        <f>G100*(1+IF(B101=Inputs_IAS19!$C$7,Inputs_IAS19!$C$8,Inputs_IAS19!$C$6))</f>
        <v/>
      </c>
      <c r="H101">
        <f>$B$7*G101*F101</f>
        <v/>
      </c>
      <c r="I101">
        <f>(1+Inputs_IAS19!$C$26)^-(A101-0.5)</f>
        <v/>
      </c>
      <c r="J101">
        <f>H101*I101</f>
        <v/>
      </c>
      <c r="K101">
        <f>H101*INDEX(Curve_IAS19!$D$2:$D$101,A101)</f>
        <v/>
      </c>
    </row>
    <row r="102">
      <c r="A102" t="n">
        <v>84</v>
      </c>
      <c r="B102">
        <f>Inputs_IAS19!$C$2+A102</f>
        <v/>
      </c>
      <c r="C102">
        <f>$B$5+A102-1</f>
        <v/>
      </c>
      <c r="D102">
        <f>IF(C102&gt;=120,1,MIN(1,IF(A102&lt;=$B$6,IF($B$4="M",Inputs_IAS19!$C$13,Inputs_IAS19!$C$14),IF($B$4="M",Inputs_IAS19!$C$15,Inputs_IAS19!$C$16))*INDEX(ILT!$B$2:$C$122,MIN(C102,120)+1,IF($B$4="M",1,2))*(1-Inputs_IAS19!$C$17)^MAX(B102-Inputs_IAS19!$C$18,0)))</f>
        <v/>
      </c>
      <c r="E102">
        <f>E101*(1-D102)</f>
        <v/>
      </c>
      <c r="F102">
        <f>(E101+E102)/2</f>
        <v/>
      </c>
      <c r="G102">
        <f>G101*(1+IF(B102=Inputs_IAS19!$C$7,Inputs_IAS19!$C$8,Inputs_IAS19!$C$6))</f>
        <v/>
      </c>
      <c r="H102">
        <f>$B$7*G102*F102</f>
        <v/>
      </c>
      <c r="I102">
        <f>(1+Inputs_IAS19!$C$26)^-(A102-0.5)</f>
        <v/>
      </c>
      <c r="J102">
        <f>H102*I102</f>
        <v/>
      </c>
      <c r="K102">
        <f>H102*INDEX(Curve_IAS19!$D$2:$D$101,A102)</f>
        <v/>
      </c>
    </row>
    <row r="103">
      <c r="A103" t="n">
        <v>85</v>
      </c>
      <c r="B103">
        <f>Inputs_IAS19!$C$2+A103</f>
        <v/>
      </c>
      <c r="C103">
        <f>$B$5+A103-1</f>
        <v/>
      </c>
      <c r="D103">
        <f>IF(C103&gt;=120,1,MIN(1,IF(A103&lt;=$B$6,IF($B$4="M",Inputs_IAS19!$C$13,Inputs_IAS19!$C$14),IF($B$4="M",Inputs_IAS19!$C$15,Inputs_IAS19!$C$16))*INDEX(ILT!$B$2:$C$122,MIN(C103,120)+1,IF($B$4="M",1,2))*(1-Inputs_IAS19!$C$17)^MAX(B103-Inputs_IAS19!$C$18,0)))</f>
        <v/>
      </c>
      <c r="E103">
        <f>E102*(1-D103)</f>
        <v/>
      </c>
      <c r="F103">
        <f>(E102+E103)/2</f>
        <v/>
      </c>
      <c r="G103">
        <f>G102*(1+IF(B103=Inputs_IAS19!$C$7,Inputs_IAS19!$C$8,Inputs_IAS19!$C$6))</f>
        <v/>
      </c>
      <c r="H103">
        <f>$B$7*G103*F103</f>
        <v/>
      </c>
      <c r="I103">
        <f>(1+Inputs_IAS19!$C$26)^-(A103-0.5)</f>
        <v/>
      </c>
      <c r="J103">
        <f>H103*I103</f>
        <v/>
      </c>
      <c r="K103">
        <f>H103*INDEX(Curve_IAS19!$D$2:$D$101,A103)</f>
        <v/>
      </c>
    </row>
    <row r="104">
      <c r="A104" t="n">
        <v>86</v>
      </c>
      <c r="B104">
        <f>Inputs_IAS19!$C$2+A104</f>
        <v/>
      </c>
      <c r="C104">
        <f>$B$5+A104-1</f>
        <v/>
      </c>
      <c r="D104">
        <f>IF(C104&gt;=120,1,MIN(1,IF(A104&lt;=$B$6,IF($B$4="M",Inputs_IAS19!$C$13,Inputs_IAS19!$C$14),IF($B$4="M",Inputs_IAS19!$C$15,Inputs_IAS19!$C$16))*INDEX(ILT!$B$2:$C$122,MIN(C104,120)+1,IF($B$4="M",1,2))*(1-Inputs_IAS19!$C$17)^MAX(B104-Inputs_IAS19!$C$18,0)))</f>
        <v/>
      </c>
      <c r="E104">
        <f>E103*(1-D104)</f>
        <v/>
      </c>
      <c r="F104">
        <f>(E103+E104)/2</f>
        <v/>
      </c>
      <c r="G104">
        <f>G103*(1+IF(B104=Inputs_IAS19!$C$7,Inputs_IAS19!$C$8,Inputs_IAS19!$C$6))</f>
        <v/>
      </c>
      <c r="H104">
        <f>$B$7*G104*F104</f>
        <v/>
      </c>
      <c r="I104">
        <f>(1+Inputs_IAS19!$C$26)^-(A104-0.5)</f>
        <v/>
      </c>
      <c r="J104">
        <f>H104*I104</f>
        <v/>
      </c>
      <c r="K104">
        <f>H104*INDEX(Curve_IAS19!$D$2:$D$101,A104)</f>
        <v/>
      </c>
    </row>
    <row r="105">
      <c r="A105" t="n">
        <v>87</v>
      </c>
      <c r="B105">
        <f>Inputs_IAS19!$C$2+A105</f>
        <v/>
      </c>
      <c r="C105">
        <f>$B$5+A105-1</f>
        <v/>
      </c>
      <c r="D105">
        <f>IF(C105&gt;=120,1,MIN(1,IF(A105&lt;=$B$6,IF($B$4="M",Inputs_IAS19!$C$13,Inputs_IAS19!$C$14),IF($B$4="M",Inputs_IAS19!$C$15,Inputs_IAS19!$C$16))*INDEX(ILT!$B$2:$C$122,MIN(C105,120)+1,IF($B$4="M",1,2))*(1-Inputs_IAS19!$C$17)^MAX(B105-Inputs_IAS19!$C$18,0)))</f>
        <v/>
      </c>
      <c r="E105">
        <f>E104*(1-D105)</f>
        <v/>
      </c>
      <c r="F105">
        <f>(E104+E105)/2</f>
        <v/>
      </c>
      <c r="G105">
        <f>G104*(1+IF(B105=Inputs_IAS19!$C$7,Inputs_IAS19!$C$8,Inputs_IAS19!$C$6))</f>
        <v/>
      </c>
      <c r="H105">
        <f>$B$7*G105*F105</f>
        <v/>
      </c>
      <c r="I105">
        <f>(1+Inputs_IAS19!$C$26)^-(A105-0.5)</f>
        <v/>
      </c>
      <c r="J105">
        <f>H105*I105</f>
        <v/>
      </c>
      <c r="K105">
        <f>H105*INDEX(Curve_IAS19!$D$2:$D$101,A105)</f>
        <v/>
      </c>
    </row>
    <row r="106">
      <c r="A106" t="n">
        <v>88</v>
      </c>
      <c r="B106">
        <f>Inputs_IAS19!$C$2+A106</f>
        <v/>
      </c>
      <c r="C106">
        <f>$B$5+A106-1</f>
        <v/>
      </c>
      <c r="D106">
        <f>IF(C106&gt;=120,1,MIN(1,IF(A106&lt;=$B$6,IF($B$4="M",Inputs_IAS19!$C$13,Inputs_IAS19!$C$14),IF($B$4="M",Inputs_IAS19!$C$15,Inputs_IAS19!$C$16))*INDEX(ILT!$B$2:$C$122,MIN(C106,120)+1,IF($B$4="M",1,2))*(1-Inputs_IAS19!$C$17)^MAX(B106-Inputs_IAS19!$C$18,0)))</f>
        <v/>
      </c>
      <c r="E106">
        <f>E105*(1-D106)</f>
        <v/>
      </c>
      <c r="F106">
        <f>(E105+E106)/2</f>
        <v/>
      </c>
      <c r="G106">
        <f>G105*(1+IF(B106=Inputs_IAS19!$C$7,Inputs_IAS19!$C$8,Inputs_IAS19!$C$6))</f>
        <v/>
      </c>
      <c r="H106">
        <f>$B$7*G106*F106</f>
        <v/>
      </c>
      <c r="I106">
        <f>(1+Inputs_IAS19!$C$26)^-(A106-0.5)</f>
        <v/>
      </c>
      <c r="J106">
        <f>H106*I106</f>
        <v/>
      </c>
      <c r="K106">
        <f>H106*INDEX(Curve_IAS19!$D$2:$D$101,A106)</f>
        <v/>
      </c>
    </row>
    <row r="107">
      <c r="A107" t="n">
        <v>89</v>
      </c>
      <c r="B107">
        <f>Inputs_IAS19!$C$2+A107</f>
        <v/>
      </c>
      <c r="C107">
        <f>$B$5+A107-1</f>
        <v/>
      </c>
      <c r="D107">
        <f>IF(C107&gt;=120,1,MIN(1,IF(A107&lt;=$B$6,IF($B$4="M",Inputs_IAS19!$C$13,Inputs_IAS19!$C$14),IF($B$4="M",Inputs_IAS19!$C$15,Inputs_IAS19!$C$16))*INDEX(ILT!$B$2:$C$122,MIN(C107,120)+1,IF($B$4="M",1,2))*(1-Inputs_IAS19!$C$17)^MAX(B107-Inputs_IAS19!$C$18,0)))</f>
        <v/>
      </c>
      <c r="E107">
        <f>E106*(1-D107)</f>
        <v/>
      </c>
      <c r="F107">
        <f>(E106+E107)/2</f>
        <v/>
      </c>
      <c r="G107">
        <f>G106*(1+IF(B107=Inputs_IAS19!$C$7,Inputs_IAS19!$C$8,Inputs_IAS19!$C$6))</f>
        <v/>
      </c>
      <c r="H107">
        <f>$B$7*G107*F107</f>
        <v/>
      </c>
      <c r="I107">
        <f>(1+Inputs_IAS19!$C$26)^-(A107-0.5)</f>
        <v/>
      </c>
      <c r="J107">
        <f>H107*I107</f>
        <v/>
      </c>
      <c r="K107">
        <f>H107*INDEX(Curve_IAS19!$D$2:$D$101,A107)</f>
        <v/>
      </c>
    </row>
    <row r="108">
      <c r="A108" t="n">
        <v>90</v>
      </c>
      <c r="B108">
        <f>Inputs_IAS19!$C$2+A108</f>
        <v/>
      </c>
      <c r="C108">
        <f>$B$5+A108-1</f>
        <v/>
      </c>
      <c r="D108">
        <f>IF(C108&gt;=120,1,MIN(1,IF(A108&lt;=$B$6,IF($B$4="M",Inputs_IAS19!$C$13,Inputs_IAS19!$C$14),IF($B$4="M",Inputs_IAS19!$C$15,Inputs_IAS19!$C$16))*INDEX(ILT!$B$2:$C$122,MIN(C108,120)+1,IF($B$4="M",1,2))*(1-Inputs_IAS19!$C$17)^MAX(B108-Inputs_IAS19!$C$18,0)))</f>
        <v/>
      </c>
      <c r="E108">
        <f>E107*(1-D108)</f>
        <v/>
      </c>
      <c r="F108">
        <f>(E107+E108)/2</f>
        <v/>
      </c>
      <c r="G108">
        <f>G107*(1+IF(B108=Inputs_IAS19!$C$7,Inputs_IAS19!$C$8,Inputs_IAS19!$C$6))</f>
        <v/>
      </c>
      <c r="H108">
        <f>$B$7*G108*F108</f>
        <v/>
      </c>
      <c r="I108">
        <f>(1+Inputs_IAS19!$C$26)^-(A108-0.5)</f>
        <v/>
      </c>
      <c r="J108">
        <f>H108*I108</f>
        <v/>
      </c>
      <c r="K108">
        <f>H108*INDEX(Curve_IAS19!$D$2:$D$101,A108)</f>
        <v/>
      </c>
    </row>
    <row r="109">
      <c r="A109" t="n">
        <v>91</v>
      </c>
      <c r="B109">
        <f>Inputs_IAS19!$C$2+A109</f>
        <v/>
      </c>
      <c r="C109">
        <f>$B$5+A109-1</f>
        <v/>
      </c>
      <c r="D109">
        <f>IF(C109&gt;=120,1,MIN(1,IF(A109&lt;=$B$6,IF($B$4="M",Inputs_IAS19!$C$13,Inputs_IAS19!$C$14),IF($B$4="M",Inputs_IAS19!$C$15,Inputs_IAS19!$C$16))*INDEX(ILT!$B$2:$C$122,MIN(C109,120)+1,IF($B$4="M",1,2))*(1-Inputs_IAS19!$C$17)^MAX(B109-Inputs_IAS19!$C$18,0)))</f>
        <v/>
      </c>
      <c r="E109">
        <f>E108*(1-D109)</f>
        <v/>
      </c>
      <c r="F109">
        <f>(E108+E109)/2</f>
        <v/>
      </c>
      <c r="G109">
        <f>G108*(1+IF(B109=Inputs_IAS19!$C$7,Inputs_IAS19!$C$8,Inputs_IAS19!$C$6))</f>
        <v/>
      </c>
      <c r="H109">
        <f>$B$7*G109*F109</f>
        <v/>
      </c>
      <c r="I109">
        <f>(1+Inputs_IAS19!$C$26)^-(A109-0.5)</f>
        <v/>
      </c>
      <c r="J109">
        <f>H109*I109</f>
        <v/>
      </c>
      <c r="K109">
        <f>H109*INDEX(Curve_IAS19!$D$2:$D$101,A109)</f>
        <v/>
      </c>
    </row>
    <row r="110">
      <c r="A110" t="n">
        <v>92</v>
      </c>
      <c r="B110">
        <f>Inputs_IAS19!$C$2+A110</f>
        <v/>
      </c>
      <c r="C110">
        <f>$B$5+A110-1</f>
        <v/>
      </c>
      <c r="D110">
        <f>IF(C110&gt;=120,1,MIN(1,IF(A110&lt;=$B$6,IF($B$4="M",Inputs_IAS19!$C$13,Inputs_IAS19!$C$14),IF($B$4="M",Inputs_IAS19!$C$15,Inputs_IAS19!$C$16))*INDEX(ILT!$B$2:$C$122,MIN(C110,120)+1,IF($B$4="M",1,2))*(1-Inputs_IAS19!$C$17)^MAX(B110-Inputs_IAS19!$C$18,0)))</f>
        <v/>
      </c>
      <c r="E110">
        <f>E109*(1-D110)</f>
        <v/>
      </c>
      <c r="F110">
        <f>(E109+E110)/2</f>
        <v/>
      </c>
      <c r="G110">
        <f>G109*(1+IF(B110=Inputs_IAS19!$C$7,Inputs_IAS19!$C$8,Inputs_IAS19!$C$6))</f>
        <v/>
      </c>
      <c r="H110">
        <f>$B$7*G110*F110</f>
        <v/>
      </c>
      <c r="I110">
        <f>(1+Inputs_IAS19!$C$26)^-(A110-0.5)</f>
        <v/>
      </c>
      <c r="J110">
        <f>H110*I110</f>
        <v/>
      </c>
      <c r="K110">
        <f>H110*INDEX(Curve_IAS19!$D$2:$D$101,A110)</f>
        <v/>
      </c>
    </row>
    <row r="111">
      <c r="A111" t="n">
        <v>93</v>
      </c>
      <c r="B111">
        <f>Inputs_IAS19!$C$2+A111</f>
        <v/>
      </c>
      <c r="C111">
        <f>$B$5+A111-1</f>
        <v/>
      </c>
      <c r="D111">
        <f>IF(C111&gt;=120,1,MIN(1,IF(A111&lt;=$B$6,IF($B$4="M",Inputs_IAS19!$C$13,Inputs_IAS19!$C$14),IF($B$4="M",Inputs_IAS19!$C$15,Inputs_IAS19!$C$16))*INDEX(ILT!$B$2:$C$122,MIN(C111,120)+1,IF($B$4="M",1,2))*(1-Inputs_IAS19!$C$17)^MAX(B111-Inputs_IAS19!$C$18,0)))</f>
        <v/>
      </c>
      <c r="E111">
        <f>E110*(1-D111)</f>
        <v/>
      </c>
      <c r="F111">
        <f>(E110+E111)/2</f>
        <v/>
      </c>
      <c r="G111">
        <f>G110*(1+IF(B111=Inputs_IAS19!$C$7,Inputs_IAS19!$C$8,Inputs_IAS19!$C$6))</f>
        <v/>
      </c>
      <c r="H111">
        <f>$B$7*G111*F111</f>
        <v/>
      </c>
      <c r="I111">
        <f>(1+Inputs_IAS19!$C$26)^-(A111-0.5)</f>
        <v/>
      </c>
      <c r="J111">
        <f>H111*I111</f>
        <v/>
      </c>
      <c r="K111">
        <f>H111*INDEX(Curve_IAS19!$D$2:$D$101,A111)</f>
        <v/>
      </c>
    </row>
    <row r="112">
      <c r="A112" t="n">
        <v>94</v>
      </c>
      <c r="B112">
        <f>Inputs_IAS19!$C$2+A112</f>
        <v/>
      </c>
      <c r="C112">
        <f>$B$5+A112-1</f>
        <v/>
      </c>
      <c r="D112">
        <f>IF(C112&gt;=120,1,MIN(1,IF(A112&lt;=$B$6,IF($B$4="M",Inputs_IAS19!$C$13,Inputs_IAS19!$C$14),IF($B$4="M",Inputs_IAS19!$C$15,Inputs_IAS19!$C$16))*INDEX(ILT!$B$2:$C$122,MIN(C112,120)+1,IF($B$4="M",1,2))*(1-Inputs_IAS19!$C$17)^MAX(B112-Inputs_IAS19!$C$18,0)))</f>
        <v/>
      </c>
      <c r="E112">
        <f>E111*(1-D112)</f>
        <v/>
      </c>
      <c r="F112">
        <f>(E111+E112)/2</f>
        <v/>
      </c>
      <c r="G112">
        <f>G111*(1+IF(B112=Inputs_IAS19!$C$7,Inputs_IAS19!$C$8,Inputs_IAS19!$C$6))</f>
        <v/>
      </c>
      <c r="H112">
        <f>$B$7*G112*F112</f>
        <v/>
      </c>
      <c r="I112">
        <f>(1+Inputs_IAS19!$C$26)^-(A112-0.5)</f>
        <v/>
      </c>
      <c r="J112">
        <f>H112*I112</f>
        <v/>
      </c>
      <c r="K112">
        <f>H112*INDEX(Curve_IAS19!$D$2:$D$101,A112)</f>
        <v/>
      </c>
    </row>
    <row r="113">
      <c r="A113" t="n">
        <v>95</v>
      </c>
      <c r="B113">
        <f>Inputs_IAS19!$C$2+A113</f>
        <v/>
      </c>
      <c r="C113">
        <f>$B$5+A113-1</f>
        <v/>
      </c>
      <c r="D113">
        <f>IF(C113&gt;=120,1,MIN(1,IF(A113&lt;=$B$6,IF($B$4="M",Inputs_IAS19!$C$13,Inputs_IAS19!$C$14),IF($B$4="M",Inputs_IAS19!$C$15,Inputs_IAS19!$C$16))*INDEX(ILT!$B$2:$C$122,MIN(C113,120)+1,IF($B$4="M",1,2))*(1-Inputs_IAS19!$C$17)^MAX(B113-Inputs_IAS19!$C$18,0)))</f>
        <v/>
      </c>
      <c r="E113">
        <f>E112*(1-D113)</f>
        <v/>
      </c>
      <c r="F113">
        <f>(E112+E113)/2</f>
        <v/>
      </c>
      <c r="G113">
        <f>G112*(1+IF(B113=Inputs_IAS19!$C$7,Inputs_IAS19!$C$8,Inputs_IAS19!$C$6))</f>
        <v/>
      </c>
      <c r="H113">
        <f>$B$7*G113*F113</f>
        <v/>
      </c>
      <c r="I113">
        <f>(1+Inputs_IAS19!$C$26)^-(A113-0.5)</f>
        <v/>
      </c>
      <c r="J113">
        <f>H113*I113</f>
        <v/>
      </c>
      <c r="K113">
        <f>H113*INDEX(Curve_IAS19!$D$2:$D$101,A113)</f>
        <v/>
      </c>
    </row>
    <row r="114">
      <c r="A114" t="n">
        <v>96</v>
      </c>
      <c r="B114">
        <f>Inputs_IAS19!$C$2+A114</f>
        <v/>
      </c>
      <c r="C114">
        <f>$B$5+A114-1</f>
        <v/>
      </c>
      <c r="D114">
        <f>IF(C114&gt;=120,1,MIN(1,IF(A114&lt;=$B$6,IF($B$4="M",Inputs_IAS19!$C$13,Inputs_IAS19!$C$14),IF($B$4="M",Inputs_IAS19!$C$15,Inputs_IAS19!$C$16))*INDEX(ILT!$B$2:$C$122,MIN(C114,120)+1,IF($B$4="M",1,2))*(1-Inputs_IAS19!$C$17)^MAX(B114-Inputs_IAS19!$C$18,0)))</f>
        <v/>
      </c>
      <c r="E114">
        <f>E113*(1-D114)</f>
        <v/>
      </c>
      <c r="F114">
        <f>(E113+E114)/2</f>
        <v/>
      </c>
      <c r="G114">
        <f>G113*(1+IF(B114=Inputs_IAS19!$C$7,Inputs_IAS19!$C$8,Inputs_IAS19!$C$6))</f>
        <v/>
      </c>
      <c r="H114">
        <f>$B$7*G114*F114</f>
        <v/>
      </c>
      <c r="I114">
        <f>(1+Inputs_IAS19!$C$26)^-(A114-0.5)</f>
        <v/>
      </c>
      <c r="J114">
        <f>H114*I114</f>
        <v/>
      </c>
      <c r="K114">
        <f>H114*INDEX(Curve_IAS19!$D$2:$D$101,A114)</f>
        <v/>
      </c>
    </row>
    <row r="115">
      <c r="A115" t="n">
        <v>97</v>
      </c>
      <c r="B115">
        <f>Inputs_IAS19!$C$2+A115</f>
        <v/>
      </c>
      <c r="C115">
        <f>$B$5+A115-1</f>
        <v/>
      </c>
      <c r="D115">
        <f>IF(C115&gt;=120,1,MIN(1,IF(A115&lt;=$B$6,IF($B$4="M",Inputs_IAS19!$C$13,Inputs_IAS19!$C$14),IF($B$4="M",Inputs_IAS19!$C$15,Inputs_IAS19!$C$16))*INDEX(ILT!$B$2:$C$122,MIN(C115,120)+1,IF($B$4="M",1,2))*(1-Inputs_IAS19!$C$17)^MAX(B115-Inputs_IAS19!$C$18,0)))</f>
        <v/>
      </c>
      <c r="E115">
        <f>E114*(1-D115)</f>
        <v/>
      </c>
      <c r="F115">
        <f>(E114+E115)/2</f>
        <v/>
      </c>
      <c r="G115">
        <f>G114*(1+IF(B115=Inputs_IAS19!$C$7,Inputs_IAS19!$C$8,Inputs_IAS19!$C$6))</f>
        <v/>
      </c>
      <c r="H115">
        <f>$B$7*G115*F115</f>
        <v/>
      </c>
      <c r="I115">
        <f>(1+Inputs_IAS19!$C$26)^-(A115-0.5)</f>
        <v/>
      </c>
      <c r="J115">
        <f>H115*I115</f>
        <v/>
      </c>
      <c r="K115">
        <f>H115*INDEX(Curve_IAS19!$D$2:$D$101,A115)</f>
        <v/>
      </c>
    </row>
    <row r="116">
      <c r="A116" t="n">
        <v>98</v>
      </c>
      <c r="B116">
        <f>Inputs_IAS19!$C$2+A116</f>
        <v/>
      </c>
      <c r="C116">
        <f>$B$5+A116-1</f>
        <v/>
      </c>
      <c r="D116">
        <f>IF(C116&gt;=120,1,MIN(1,IF(A116&lt;=$B$6,IF($B$4="M",Inputs_IAS19!$C$13,Inputs_IAS19!$C$14),IF($B$4="M",Inputs_IAS19!$C$15,Inputs_IAS19!$C$16))*INDEX(ILT!$B$2:$C$122,MIN(C116,120)+1,IF($B$4="M",1,2))*(1-Inputs_IAS19!$C$17)^MAX(B116-Inputs_IAS19!$C$18,0)))</f>
        <v/>
      </c>
      <c r="E116">
        <f>E115*(1-D116)</f>
        <v/>
      </c>
      <c r="F116">
        <f>(E115+E116)/2</f>
        <v/>
      </c>
      <c r="G116">
        <f>G115*(1+IF(B116=Inputs_IAS19!$C$7,Inputs_IAS19!$C$8,Inputs_IAS19!$C$6))</f>
        <v/>
      </c>
      <c r="H116">
        <f>$B$7*G116*F116</f>
        <v/>
      </c>
      <c r="I116">
        <f>(1+Inputs_IAS19!$C$26)^-(A116-0.5)</f>
        <v/>
      </c>
      <c r="J116">
        <f>H116*I116</f>
        <v/>
      </c>
      <c r="K116">
        <f>H116*INDEX(Curve_IAS19!$D$2:$D$101,A116)</f>
        <v/>
      </c>
    </row>
    <row r="117">
      <c r="A117" t="n">
        <v>99</v>
      </c>
      <c r="B117">
        <f>Inputs_IAS19!$C$2+A117</f>
        <v/>
      </c>
      <c r="C117">
        <f>$B$5+A117-1</f>
        <v/>
      </c>
      <c r="D117">
        <f>IF(C117&gt;=120,1,MIN(1,IF(A117&lt;=$B$6,IF($B$4="M",Inputs_IAS19!$C$13,Inputs_IAS19!$C$14),IF($B$4="M",Inputs_IAS19!$C$15,Inputs_IAS19!$C$16))*INDEX(ILT!$B$2:$C$122,MIN(C117,120)+1,IF($B$4="M",1,2))*(1-Inputs_IAS19!$C$17)^MAX(B117-Inputs_IAS19!$C$18,0)))</f>
        <v/>
      </c>
      <c r="E117">
        <f>E116*(1-D117)</f>
        <v/>
      </c>
      <c r="F117">
        <f>(E116+E117)/2</f>
        <v/>
      </c>
      <c r="G117">
        <f>G116*(1+IF(B117=Inputs_IAS19!$C$7,Inputs_IAS19!$C$8,Inputs_IAS19!$C$6))</f>
        <v/>
      </c>
      <c r="H117">
        <f>$B$7*G117*F117</f>
        <v/>
      </c>
      <c r="I117">
        <f>(1+Inputs_IAS19!$C$26)^-(A117-0.5)</f>
        <v/>
      </c>
      <c r="J117">
        <f>H117*I117</f>
        <v/>
      </c>
      <c r="K117">
        <f>H117*INDEX(Curve_IAS19!$D$2:$D$101,A117)</f>
        <v/>
      </c>
    </row>
    <row r="118">
      <c r="A118" t="n">
        <v>100</v>
      </c>
      <c r="B118">
        <f>Inputs_IAS19!$C$2+A118</f>
        <v/>
      </c>
      <c r="C118">
        <f>$B$5+A118-1</f>
        <v/>
      </c>
      <c r="D118">
        <f>IF(C118&gt;=120,1,MIN(1,IF(A118&lt;=$B$6,IF($B$4="M",Inputs_IAS19!$C$13,Inputs_IAS19!$C$14),IF($B$4="M",Inputs_IAS19!$C$15,Inputs_IAS19!$C$16))*INDEX(ILT!$B$2:$C$122,MIN(C118,120)+1,IF($B$4="M",1,2))*(1-Inputs_IAS19!$C$17)^MAX(B118-Inputs_IAS19!$C$18,0)))</f>
        <v/>
      </c>
      <c r="E118">
        <f>E117*(1-D118)</f>
        <v/>
      </c>
      <c r="F118">
        <f>(E117+E118)/2</f>
        <v/>
      </c>
      <c r="G118">
        <f>G117*(1+IF(B118=Inputs_IAS19!$C$7,Inputs_IAS19!$C$8,Inputs_IAS19!$C$6))</f>
        <v/>
      </c>
      <c r="H118">
        <f>$B$7*G118*F118</f>
        <v/>
      </c>
      <c r="I118">
        <f>(1+Inputs_IAS19!$C$26)^-(A118-0.5)</f>
        <v/>
      </c>
      <c r="J118">
        <f>H118*I118</f>
        <v/>
      </c>
      <c r="K118">
        <f>H118*INDEX(Curve_IAS19!$D$2:$D$101,A118)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Deferred: pension at exit, official revaluation to the valuation year, then r a year to 65</t>
        </is>
      </c>
    </row>
    <row r="3">
      <c r="A3" t="inlineStr">
        <is>
          <t>member_id</t>
        </is>
      </c>
      <c r="B3" s="2" t="inlineStr">
        <is>
          <t>M0021</t>
        </is>
      </c>
      <c r="D3" t="inlineStr">
        <is>
          <t>PV (flat rate)</t>
        </is>
      </c>
      <c r="E3">
        <f>SUM(J19:J118)</f>
        <v/>
      </c>
    </row>
    <row r="4">
      <c r="A4" t="inlineStr">
        <is>
          <t>sex</t>
        </is>
      </c>
      <c r="B4" s="2" t="inlineStr">
        <is>
          <t>F</t>
        </is>
      </c>
      <c r="D4" t="inlineStr">
        <is>
          <t>PV (IAS 19 curve)</t>
        </is>
      </c>
      <c r="E4">
        <f>SUM(K19:K118)</f>
        <v/>
      </c>
    </row>
    <row r="5">
      <c r="A5" t="inlineStr">
        <is>
          <t>age x (nearest, at valuation)</t>
        </is>
      </c>
      <c r="B5" s="2" t="n">
        <v>50</v>
      </c>
    </row>
    <row r="6">
      <c r="A6" t="inlineStr">
        <is>
          <t>T (years to 65)</t>
        </is>
      </c>
      <c r="B6" s="2" t="n">
        <v>15</v>
      </c>
    </row>
    <row r="7">
      <c r="A7" t="inlineStr">
        <is>
          <t>pension at exit</t>
        </is>
      </c>
      <c r="B7" s="2" t="n">
        <v>3866.4</v>
      </c>
    </row>
    <row r="8">
      <c r="A8" t="inlineStr">
        <is>
          <t>exit year</t>
        </is>
      </c>
      <c r="B8" s="2" t="n">
        <v>2020</v>
      </c>
    </row>
    <row r="9">
      <c r="A9" t="inlineStr">
        <is>
          <t>exit month</t>
        </is>
      </c>
      <c r="B9" s="2" t="n">
        <v>7</v>
      </c>
    </row>
    <row r="10">
      <c r="A10" t="inlineStr">
        <is>
          <t>exit day</t>
        </is>
      </c>
      <c r="B10" s="2" t="n">
        <v>20</v>
      </c>
    </row>
    <row r="11">
      <c r="A11" t="inlineStr">
        <is>
          <t>complete months to 31 Dec</t>
        </is>
      </c>
      <c r="B11">
        <f>12-B9+IF(B10=1,1,0)</f>
        <v/>
      </c>
    </row>
    <row r="12">
      <c r="A12" t="inlineStr">
        <is>
          <t>revaluation factor to valuation year</t>
        </is>
      </c>
      <c r="B12">
        <f>N22</f>
        <v/>
      </c>
    </row>
    <row r="13">
      <c r="A13" t="inlineStr">
        <is>
          <t>pension at valuation date</t>
        </is>
      </c>
      <c r="B13">
        <f>B7*B12</f>
        <v/>
      </c>
    </row>
    <row r="14">
      <c r="A14" t="inlineStr">
        <is>
          <t>pension at 65 x loading</t>
        </is>
      </c>
      <c r="B14">
        <f>B13*(1+Inputs_IAS19!$C$5)^B6*(1+IF($B$4="M",Inputs_IAS19!$C$23,Inputs_IAS19!$C$24))^MAX(Inputs_IAS19!$C$2+$B$6-Inputs_IAS19!$C$25,0)</f>
        <v/>
      </c>
    </row>
    <row r="16">
      <c r="M16" s="3" t="inlineStr">
        <is>
          <t>rev. year</t>
        </is>
      </c>
      <c r="N16" s="3" t="inlineStr">
        <is>
          <t>factor</t>
        </is>
      </c>
    </row>
    <row r="17">
      <c r="A17" s="3" t="inlineStr">
        <is>
          <t>t</t>
        </is>
      </c>
      <c r="B17" s="3" t="inlineStr">
        <is>
          <t>year</t>
        </is>
      </c>
      <c r="C17" s="3" t="inlineStr">
        <is>
          <t>age</t>
        </is>
      </c>
      <c r="D17" s="3" t="inlineStr">
        <is>
          <t>q</t>
        </is>
      </c>
      <c r="E17" s="3" t="inlineStr">
        <is>
          <t>survival</t>
        </is>
      </c>
      <c r="F17" s="3" t="inlineStr">
        <is>
          <t>avg survival</t>
        </is>
      </c>
      <c r="G17" s="3" t="inlineStr">
        <is>
          <t>pension index</t>
        </is>
      </c>
      <c r="H17" s="3" t="inlineStr">
        <is>
          <t>cash flow</t>
        </is>
      </c>
      <c r="I17" s="3" t="inlineStr">
        <is>
          <t>DF 1</t>
        </is>
      </c>
      <c r="J17" s="3" t="inlineStr">
        <is>
          <t>PV 1</t>
        </is>
      </c>
      <c r="K17" s="3" t="inlineStr">
        <is>
          <t>PV 2</t>
        </is>
      </c>
      <c r="M17" t="n">
        <v>2020</v>
      </c>
      <c r="N17">
        <f>1+INDEX(Revaluation!$B:$B,M17-1996+2)/100*$B$11/12</f>
        <v/>
      </c>
    </row>
    <row r="18">
      <c r="A18" t="n">
        <v>0</v>
      </c>
      <c r="E18" t="n">
        <v>1</v>
      </c>
      <c r="G18" t="n">
        <v>0</v>
      </c>
      <c r="M18" t="n">
        <v>2021</v>
      </c>
      <c r="N18">
        <f>N17*(1+INDEX(Revaluation!$B:$B,M18-1996+2)/100)</f>
        <v/>
      </c>
    </row>
    <row r="19">
      <c r="A19" t="n">
        <v>1</v>
      </c>
      <c r="B19">
        <f>Inputs_IAS19!$C$2+A19</f>
        <v/>
      </c>
      <c r="C19">
        <f>$B$5+A19-1</f>
        <v/>
      </c>
      <c r="D19">
        <f>IF(C19&gt;=120,1,MIN(1,IF(A19&lt;=$B$6,IF($B$4="M",Inputs_IAS19!$C$13,Inputs_IAS19!$C$14),IF($B$4="M",Inputs_IAS19!$C$15,Inputs_IAS19!$C$16))*INDEX(ILT!$B$2:$C$122,MIN(C19,120)+1,IF($B$4="M",1,2))*(1-Inputs_IAS19!$C$17)^MAX(B19-Inputs_IAS19!$C$18,0)))</f>
        <v/>
      </c>
      <c r="E19">
        <f>E18*(1-D19)</f>
        <v/>
      </c>
      <c r="F19">
        <f>(E18+E19)/2</f>
        <v/>
      </c>
      <c r="G19">
        <f>IF(A19&lt;$B$6+1,0,IF(A19=$B$6+1,1,G18*(1+IF(B19=Inputs_IAS19!$C$7,Inputs_IAS19!$C$8,Inputs_IAS19!$C$6))))</f>
        <v/>
      </c>
      <c r="H19">
        <f>$B$14*G19*F19</f>
        <v/>
      </c>
      <c r="I19">
        <f>(1+Inputs_IAS19!$C$26)^-(A19-0.5)</f>
        <v/>
      </c>
      <c r="J19">
        <f>H19*I19</f>
        <v/>
      </c>
      <c r="K19">
        <f>H19*INDEX(Curve_IAS19!$D$2:$D$101,A19)</f>
        <v/>
      </c>
      <c r="M19" t="n">
        <v>2022</v>
      </c>
      <c r="N19">
        <f>N18*(1+INDEX(Revaluation!$B:$B,M19-1996+2)/100)</f>
        <v/>
      </c>
    </row>
    <row r="20">
      <c r="A20" t="n">
        <v>2</v>
      </c>
      <c r="B20">
        <f>Inputs_IAS19!$C$2+A20</f>
        <v/>
      </c>
      <c r="C20">
        <f>$B$5+A20-1</f>
        <v/>
      </c>
      <c r="D20">
        <f>IF(C20&gt;=120,1,MIN(1,IF(A20&lt;=$B$6,IF($B$4="M",Inputs_IAS19!$C$13,Inputs_IAS19!$C$14),IF($B$4="M",Inputs_IAS19!$C$15,Inputs_IAS19!$C$16))*INDEX(ILT!$B$2:$C$122,MIN(C20,120)+1,IF($B$4="M",1,2))*(1-Inputs_IAS19!$C$17)^MAX(B20-Inputs_IAS19!$C$18,0)))</f>
        <v/>
      </c>
      <c r="E20">
        <f>E19*(1-D20)</f>
        <v/>
      </c>
      <c r="F20">
        <f>(E19+E20)/2</f>
        <v/>
      </c>
      <c r="G20">
        <f>IF(A20&lt;$B$6+1,0,IF(A20=$B$6+1,1,G19*(1+IF(B20=Inputs_IAS19!$C$7,Inputs_IAS19!$C$8,Inputs_IAS19!$C$6))))</f>
        <v/>
      </c>
      <c r="H20">
        <f>$B$14*G20*F20</f>
        <v/>
      </c>
      <c r="I20">
        <f>(1+Inputs_IAS19!$C$26)^-(A20-0.5)</f>
        <v/>
      </c>
      <c r="J20">
        <f>H20*I20</f>
        <v/>
      </c>
      <c r="K20">
        <f>H20*INDEX(Curve_IAS19!$D$2:$D$101,A20)</f>
        <v/>
      </c>
      <c r="M20" t="n">
        <v>2023</v>
      </c>
      <c r="N20">
        <f>N19*(1+INDEX(Revaluation!$B:$B,M20-1996+2)/100)</f>
        <v/>
      </c>
    </row>
    <row r="21">
      <c r="A21" t="n">
        <v>3</v>
      </c>
      <c r="B21">
        <f>Inputs_IAS19!$C$2+A21</f>
        <v/>
      </c>
      <c r="C21">
        <f>$B$5+A21-1</f>
        <v/>
      </c>
      <c r="D21">
        <f>IF(C21&gt;=120,1,MIN(1,IF(A21&lt;=$B$6,IF($B$4="M",Inputs_IAS19!$C$13,Inputs_IAS19!$C$14),IF($B$4="M",Inputs_IAS19!$C$15,Inputs_IAS19!$C$16))*INDEX(ILT!$B$2:$C$122,MIN(C21,120)+1,IF($B$4="M",1,2))*(1-Inputs_IAS19!$C$17)^MAX(B21-Inputs_IAS19!$C$18,0)))</f>
        <v/>
      </c>
      <c r="E21">
        <f>E20*(1-D21)</f>
        <v/>
      </c>
      <c r="F21">
        <f>(E20+E21)/2</f>
        <v/>
      </c>
      <c r="G21">
        <f>IF(A21&lt;$B$6+1,0,IF(A21=$B$6+1,1,G20*(1+IF(B21=Inputs_IAS19!$C$7,Inputs_IAS19!$C$8,Inputs_IAS19!$C$6))))</f>
        <v/>
      </c>
      <c r="H21">
        <f>$B$14*G21*F21</f>
        <v/>
      </c>
      <c r="I21">
        <f>(1+Inputs_IAS19!$C$26)^-(A21-0.5)</f>
        <v/>
      </c>
      <c r="J21">
        <f>H21*I21</f>
        <v/>
      </c>
      <c r="K21">
        <f>H21*INDEX(Curve_IAS19!$D$2:$D$101,A21)</f>
        <v/>
      </c>
      <c r="M21" t="n">
        <v>2024</v>
      </c>
      <c r="N21">
        <f>N20*(1+INDEX(Revaluation!$B:$B,M21-1996+2)/100)</f>
        <v/>
      </c>
    </row>
    <row r="22">
      <c r="A22" t="n">
        <v>4</v>
      </c>
      <c r="B22">
        <f>Inputs_IAS19!$C$2+A22</f>
        <v/>
      </c>
      <c r="C22">
        <f>$B$5+A22-1</f>
        <v/>
      </c>
      <c r="D22">
        <f>IF(C22&gt;=120,1,MIN(1,IF(A22&lt;=$B$6,IF($B$4="M",Inputs_IAS19!$C$13,Inputs_IAS19!$C$14),IF($B$4="M",Inputs_IAS19!$C$15,Inputs_IAS19!$C$16))*INDEX(ILT!$B$2:$C$122,MIN(C22,120)+1,IF($B$4="M",1,2))*(1-Inputs_IAS19!$C$17)^MAX(B22-Inputs_IAS19!$C$18,0)))</f>
        <v/>
      </c>
      <c r="E22">
        <f>E21*(1-D22)</f>
        <v/>
      </c>
      <c r="F22">
        <f>(E21+E22)/2</f>
        <v/>
      </c>
      <c r="G22">
        <f>IF(A22&lt;$B$6+1,0,IF(A22=$B$6+1,1,G21*(1+IF(B22=Inputs_IAS19!$C$7,Inputs_IAS19!$C$8,Inputs_IAS19!$C$6))))</f>
        <v/>
      </c>
      <c r="H22">
        <f>$B$14*G22*F22</f>
        <v/>
      </c>
      <c r="I22">
        <f>(1+Inputs_IAS19!$C$26)^-(A22-0.5)</f>
        <v/>
      </c>
      <c r="J22">
        <f>H22*I22</f>
        <v/>
      </c>
      <c r="K22">
        <f>H22*INDEX(Curve_IAS19!$D$2:$D$101,A22)</f>
        <v/>
      </c>
      <c r="M22" t="n">
        <v>2025</v>
      </c>
      <c r="N22">
        <f>N21*(1+INDEX(Revaluation!$B:$B,M22-1996+2)/100)</f>
        <v/>
      </c>
    </row>
    <row r="23">
      <c r="A23" t="n">
        <v>5</v>
      </c>
      <c r="B23">
        <f>Inputs_IAS19!$C$2+A23</f>
        <v/>
      </c>
      <c r="C23">
        <f>$B$5+A23-1</f>
        <v/>
      </c>
      <c r="D23">
        <f>IF(C23&gt;=120,1,MIN(1,IF(A23&lt;=$B$6,IF($B$4="M",Inputs_IAS19!$C$13,Inputs_IAS19!$C$14),IF($B$4="M",Inputs_IAS19!$C$15,Inputs_IAS19!$C$16))*INDEX(ILT!$B$2:$C$122,MIN(C23,120)+1,IF($B$4="M",1,2))*(1-Inputs_IAS19!$C$17)^MAX(B23-Inputs_IAS19!$C$18,0)))</f>
        <v/>
      </c>
      <c r="E23">
        <f>E22*(1-D23)</f>
        <v/>
      </c>
      <c r="F23">
        <f>(E22+E23)/2</f>
        <v/>
      </c>
      <c r="G23">
        <f>IF(A23&lt;$B$6+1,0,IF(A23=$B$6+1,1,G22*(1+IF(B23=Inputs_IAS19!$C$7,Inputs_IAS19!$C$8,Inputs_IAS19!$C$6))))</f>
        <v/>
      </c>
      <c r="H23">
        <f>$B$14*G23*F23</f>
        <v/>
      </c>
      <c r="I23">
        <f>(1+Inputs_IAS19!$C$26)^-(A23-0.5)</f>
        <v/>
      </c>
      <c r="J23">
        <f>H23*I23</f>
        <v/>
      </c>
      <c r="K23">
        <f>H23*INDEX(Curve_IAS19!$D$2:$D$101,A23)</f>
        <v/>
      </c>
    </row>
    <row r="24">
      <c r="A24" t="n">
        <v>6</v>
      </c>
      <c r="B24">
        <f>Inputs_IAS19!$C$2+A24</f>
        <v/>
      </c>
      <c r="C24">
        <f>$B$5+A24-1</f>
        <v/>
      </c>
      <c r="D24">
        <f>IF(C24&gt;=120,1,MIN(1,IF(A24&lt;=$B$6,IF($B$4="M",Inputs_IAS19!$C$13,Inputs_IAS19!$C$14),IF($B$4="M",Inputs_IAS19!$C$15,Inputs_IAS19!$C$16))*INDEX(ILT!$B$2:$C$122,MIN(C24,120)+1,IF($B$4="M",1,2))*(1-Inputs_IAS19!$C$17)^MAX(B24-Inputs_IAS19!$C$18,0)))</f>
        <v/>
      </c>
      <c r="E24">
        <f>E23*(1-D24)</f>
        <v/>
      </c>
      <c r="F24">
        <f>(E23+E24)/2</f>
        <v/>
      </c>
      <c r="G24">
        <f>IF(A24&lt;$B$6+1,0,IF(A24=$B$6+1,1,G23*(1+IF(B24=Inputs_IAS19!$C$7,Inputs_IAS19!$C$8,Inputs_IAS19!$C$6))))</f>
        <v/>
      </c>
      <c r="H24">
        <f>$B$14*G24*F24</f>
        <v/>
      </c>
      <c r="I24">
        <f>(1+Inputs_IAS19!$C$26)^-(A24-0.5)</f>
        <v/>
      </c>
      <c r="J24">
        <f>H24*I24</f>
        <v/>
      </c>
      <c r="K24">
        <f>H24*INDEX(Curve_IAS19!$D$2:$D$101,A24)</f>
        <v/>
      </c>
    </row>
    <row r="25">
      <c r="A25" t="n">
        <v>7</v>
      </c>
      <c r="B25">
        <f>Inputs_IAS19!$C$2+A25</f>
        <v/>
      </c>
      <c r="C25">
        <f>$B$5+A25-1</f>
        <v/>
      </c>
      <c r="D25">
        <f>IF(C25&gt;=120,1,MIN(1,IF(A25&lt;=$B$6,IF($B$4="M",Inputs_IAS19!$C$13,Inputs_IAS19!$C$14),IF($B$4="M",Inputs_IAS19!$C$15,Inputs_IAS19!$C$16))*INDEX(ILT!$B$2:$C$122,MIN(C25,120)+1,IF($B$4="M",1,2))*(1-Inputs_IAS19!$C$17)^MAX(B25-Inputs_IAS19!$C$18,0)))</f>
        <v/>
      </c>
      <c r="E25">
        <f>E24*(1-D25)</f>
        <v/>
      </c>
      <c r="F25">
        <f>(E24+E25)/2</f>
        <v/>
      </c>
      <c r="G25">
        <f>IF(A25&lt;$B$6+1,0,IF(A25=$B$6+1,1,G24*(1+IF(B25=Inputs_IAS19!$C$7,Inputs_IAS19!$C$8,Inputs_IAS19!$C$6))))</f>
        <v/>
      </c>
      <c r="H25">
        <f>$B$14*G25*F25</f>
        <v/>
      </c>
      <c r="I25">
        <f>(1+Inputs_IAS19!$C$26)^-(A25-0.5)</f>
        <v/>
      </c>
      <c r="J25">
        <f>H25*I25</f>
        <v/>
      </c>
      <c r="K25">
        <f>H25*INDEX(Curve_IAS19!$D$2:$D$101,A25)</f>
        <v/>
      </c>
    </row>
    <row r="26">
      <c r="A26" t="n">
        <v>8</v>
      </c>
      <c r="B26">
        <f>Inputs_IAS19!$C$2+A26</f>
        <v/>
      </c>
      <c r="C26">
        <f>$B$5+A26-1</f>
        <v/>
      </c>
      <c r="D26">
        <f>IF(C26&gt;=120,1,MIN(1,IF(A26&lt;=$B$6,IF($B$4="M",Inputs_IAS19!$C$13,Inputs_IAS19!$C$14),IF($B$4="M",Inputs_IAS19!$C$15,Inputs_IAS19!$C$16))*INDEX(ILT!$B$2:$C$122,MIN(C26,120)+1,IF($B$4="M",1,2))*(1-Inputs_IAS19!$C$17)^MAX(B26-Inputs_IAS19!$C$18,0)))</f>
        <v/>
      </c>
      <c r="E26">
        <f>E25*(1-D26)</f>
        <v/>
      </c>
      <c r="F26">
        <f>(E25+E26)/2</f>
        <v/>
      </c>
      <c r="G26">
        <f>IF(A26&lt;$B$6+1,0,IF(A26=$B$6+1,1,G25*(1+IF(B26=Inputs_IAS19!$C$7,Inputs_IAS19!$C$8,Inputs_IAS19!$C$6))))</f>
        <v/>
      </c>
      <c r="H26">
        <f>$B$14*G26*F26</f>
        <v/>
      </c>
      <c r="I26">
        <f>(1+Inputs_IAS19!$C$26)^-(A26-0.5)</f>
        <v/>
      </c>
      <c r="J26">
        <f>H26*I26</f>
        <v/>
      </c>
      <c r="K26">
        <f>H26*INDEX(Curve_IAS19!$D$2:$D$101,A26)</f>
        <v/>
      </c>
    </row>
    <row r="27">
      <c r="A27" t="n">
        <v>9</v>
      </c>
      <c r="B27">
        <f>Inputs_IAS19!$C$2+A27</f>
        <v/>
      </c>
      <c r="C27">
        <f>$B$5+A27-1</f>
        <v/>
      </c>
      <c r="D27">
        <f>IF(C27&gt;=120,1,MIN(1,IF(A27&lt;=$B$6,IF($B$4="M",Inputs_IAS19!$C$13,Inputs_IAS19!$C$14),IF($B$4="M",Inputs_IAS19!$C$15,Inputs_IAS19!$C$16))*INDEX(ILT!$B$2:$C$122,MIN(C27,120)+1,IF($B$4="M",1,2))*(1-Inputs_IAS19!$C$17)^MAX(B27-Inputs_IAS19!$C$18,0)))</f>
        <v/>
      </c>
      <c r="E27">
        <f>E26*(1-D27)</f>
        <v/>
      </c>
      <c r="F27">
        <f>(E26+E27)/2</f>
        <v/>
      </c>
      <c r="G27">
        <f>IF(A27&lt;$B$6+1,0,IF(A27=$B$6+1,1,G26*(1+IF(B27=Inputs_IAS19!$C$7,Inputs_IAS19!$C$8,Inputs_IAS19!$C$6))))</f>
        <v/>
      </c>
      <c r="H27">
        <f>$B$14*G27*F27</f>
        <v/>
      </c>
      <c r="I27">
        <f>(1+Inputs_IAS19!$C$26)^-(A27-0.5)</f>
        <v/>
      </c>
      <c r="J27">
        <f>H27*I27</f>
        <v/>
      </c>
      <c r="K27">
        <f>H27*INDEX(Curve_IAS19!$D$2:$D$101,A27)</f>
        <v/>
      </c>
    </row>
    <row r="28">
      <c r="A28" t="n">
        <v>10</v>
      </c>
      <c r="B28">
        <f>Inputs_IAS19!$C$2+A28</f>
        <v/>
      </c>
      <c r="C28">
        <f>$B$5+A28-1</f>
        <v/>
      </c>
      <c r="D28">
        <f>IF(C28&gt;=120,1,MIN(1,IF(A28&lt;=$B$6,IF($B$4="M",Inputs_IAS19!$C$13,Inputs_IAS19!$C$14),IF($B$4="M",Inputs_IAS19!$C$15,Inputs_IAS19!$C$16))*INDEX(ILT!$B$2:$C$122,MIN(C28,120)+1,IF($B$4="M",1,2))*(1-Inputs_IAS19!$C$17)^MAX(B28-Inputs_IAS19!$C$18,0)))</f>
        <v/>
      </c>
      <c r="E28">
        <f>E27*(1-D28)</f>
        <v/>
      </c>
      <c r="F28">
        <f>(E27+E28)/2</f>
        <v/>
      </c>
      <c r="G28">
        <f>IF(A28&lt;$B$6+1,0,IF(A28=$B$6+1,1,G27*(1+IF(B28=Inputs_IAS19!$C$7,Inputs_IAS19!$C$8,Inputs_IAS19!$C$6))))</f>
        <v/>
      </c>
      <c r="H28">
        <f>$B$14*G28*F28</f>
        <v/>
      </c>
      <c r="I28">
        <f>(1+Inputs_IAS19!$C$26)^-(A28-0.5)</f>
        <v/>
      </c>
      <c r="J28">
        <f>H28*I28</f>
        <v/>
      </c>
      <c r="K28">
        <f>H28*INDEX(Curve_IAS19!$D$2:$D$101,A28)</f>
        <v/>
      </c>
    </row>
    <row r="29">
      <c r="A29" t="n">
        <v>11</v>
      </c>
      <c r="B29">
        <f>Inputs_IAS19!$C$2+A29</f>
        <v/>
      </c>
      <c r="C29">
        <f>$B$5+A29-1</f>
        <v/>
      </c>
      <c r="D29">
        <f>IF(C29&gt;=120,1,MIN(1,IF(A29&lt;=$B$6,IF($B$4="M",Inputs_IAS19!$C$13,Inputs_IAS19!$C$14),IF($B$4="M",Inputs_IAS19!$C$15,Inputs_IAS19!$C$16))*INDEX(ILT!$B$2:$C$122,MIN(C29,120)+1,IF($B$4="M",1,2))*(1-Inputs_IAS19!$C$17)^MAX(B29-Inputs_IAS19!$C$18,0)))</f>
        <v/>
      </c>
      <c r="E29">
        <f>E28*(1-D29)</f>
        <v/>
      </c>
      <c r="F29">
        <f>(E28+E29)/2</f>
        <v/>
      </c>
      <c r="G29">
        <f>IF(A29&lt;$B$6+1,0,IF(A29=$B$6+1,1,G28*(1+IF(B29=Inputs_IAS19!$C$7,Inputs_IAS19!$C$8,Inputs_IAS19!$C$6))))</f>
        <v/>
      </c>
      <c r="H29">
        <f>$B$14*G29*F29</f>
        <v/>
      </c>
      <c r="I29">
        <f>(1+Inputs_IAS19!$C$26)^-(A29-0.5)</f>
        <v/>
      </c>
      <c r="J29">
        <f>H29*I29</f>
        <v/>
      </c>
      <c r="K29">
        <f>H29*INDEX(Curve_IAS19!$D$2:$D$101,A29)</f>
        <v/>
      </c>
    </row>
    <row r="30">
      <c r="A30" t="n">
        <v>12</v>
      </c>
      <c r="B30">
        <f>Inputs_IAS19!$C$2+A30</f>
        <v/>
      </c>
      <c r="C30">
        <f>$B$5+A30-1</f>
        <v/>
      </c>
      <c r="D30">
        <f>IF(C30&gt;=120,1,MIN(1,IF(A30&lt;=$B$6,IF($B$4="M",Inputs_IAS19!$C$13,Inputs_IAS19!$C$14),IF($B$4="M",Inputs_IAS19!$C$15,Inputs_IAS19!$C$16))*INDEX(ILT!$B$2:$C$122,MIN(C30,120)+1,IF($B$4="M",1,2))*(1-Inputs_IAS19!$C$17)^MAX(B30-Inputs_IAS19!$C$18,0)))</f>
        <v/>
      </c>
      <c r="E30">
        <f>E29*(1-D30)</f>
        <v/>
      </c>
      <c r="F30">
        <f>(E29+E30)/2</f>
        <v/>
      </c>
      <c r="G30">
        <f>IF(A30&lt;$B$6+1,0,IF(A30=$B$6+1,1,G29*(1+IF(B30=Inputs_IAS19!$C$7,Inputs_IAS19!$C$8,Inputs_IAS19!$C$6))))</f>
        <v/>
      </c>
      <c r="H30">
        <f>$B$14*G30*F30</f>
        <v/>
      </c>
      <c r="I30">
        <f>(1+Inputs_IAS19!$C$26)^-(A30-0.5)</f>
        <v/>
      </c>
      <c r="J30">
        <f>H30*I30</f>
        <v/>
      </c>
      <c r="K30">
        <f>H30*INDEX(Curve_IAS19!$D$2:$D$101,A30)</f>
        <v/>
      </c>
    </row>
    <row r="31">
      <c r="A31" t="n">
        <v>13</v>
      </c>
      <c r="B31">
        <f>Inputs_IAS19!$C$2+A31</f>
        <v/>
      </c>
      <c r="C31">
        <f>$B$5+A31-1</f>
        <v/>
      </c>
      <c r="D31">
        <f>IF(C31&gt;=120,1,MIN(1,IF(A31&lt;=$B$6,IF($B$4="M",Inputs_IAS19!$C$13,Inputs_IAS19!$C$14),IF($B$4="M",Inputs_IAS19!$C$15,Inputs_IAS19!$C$16))*INDEX(ILT!$B$2:$C$122,MIN(C31,120)+1,IF($B$4="M",1,2))*(1-Inputs_IAS19!$C$17)^MAX(B31-Inputs_IAS19!$C$18,0)))</f>
        <v/>
      </c>
      <c r="E31">
        <f>E30*(1-D31)</f>
        <v/>
      </c>
      <c r="F31">
        <f>(E30+E31)/2</f>
        <v/>
      </c>
      <c r="G31">
        <f>IF(A31&lt;$B$6+1,0,IF(A31=$B$6+1,1,G30*(1+IF(B31=Inputs_IAS19!$C$7,Inputs_IAS19!$C$8,Inputs_IAS19!$C$6))))</f>
        <v/>
      </c>
      <c r="H31">
        <f>$B$14*G31*F31</f>
        <v/>
      </c>
      <c r="I31">
        <f>(1+Inputs_IAS19!$C$26)^-(A31-0.5)</f>
        <v/>
      </c>
      <c r="J31">
        <f>H31*I31</f>
        <v/>
      </c>
      <c r="K31">
        <f>H31*INDEX(Curve_IAS19!$D$2:$D$101,A31)</f>
        <v/>
      </c>
    </row>
    <row r="32">
      <c r="A32" t="n">
        <v>14</v>
      </c>
      <c r="B32">
        <f>Inputs_IAS19!$C$2+A32</f>
        <v/>
      </c>
      <c r="C32">
        <f>$B$5+A32-1</f>
        <v/>
      </c>
      <c r="D32">
        <f>IF(C32&gt;=120,1,MIN(1,IF(A32&lt;=$B$6,IF($B$4="M",Inputs_IAS19!$C$13,Inputs_IAS19!$C$14),IF($B$4="M",Inputs_IAS19!$C$15,Inputs_IAS19!$C$16))*INDEX(ILT!$B$2:$C$122,MIN(C32,120)+1,IF($B$4="M",1,2))*(1-Inputs_IAS19!$C$17)^MAX(B32-Inputs_IAS19!$C$18,0)))</f>
        <v/>
      </c>
      <c r="E32">
        <f>E31*(1-D32)</f>
        <v/>
      </c>
      <c r="F32">
        <f>(E31+E32)/2</f>
        <v/>
      </c>
      <c r="G32">
        <f>IF(A32&lt;$B$6+1,0,IF(A32=$B$6+1,1,G31*(1+IF(B32=Inputs_IAS19!$C$7,Inputs_IAS19!$C$8,Inputs_IAS19!$C$6))))</f>
        <v/>
      </c>
      <c r="H32">
        <f>$B$14*G32*F32</f>
        <v/>
      </c>
      <c r="I32">
        <f>(1+Inputs_IAS19!$C$26)^-(A32-0.5)</f>
        <v/>
      </c>
      <c r="J32">
        <f>H32*I32</f>
        <v/>
      </c>
      <c r="K32">
        <f>H32*INDEX(Curve_IAS19!$D$2:$D$101,A32)</f>
        <v/>
      </c>
    </row>
    <row r="33">
      <c r="A33" t="n">
        <v>15</v>
      </c>
      <c r="B33">
        <f>Inputs_IAS19!$C$2+A33</f>
        <v/>
      </c>
      <c r="C33">
        <f>$B$5+A33-1</f>
        <v/>
      </c>
      <c r="D33">
        <f>IF(C33&gt;=120,1,MIN(1,IF(A33&lt;=$B$6,IF($B$4="M",Inputs_IAS19!$C$13,Inputs_IAS19!$C$14),IF($B$4="M",Inputs_IAS19!$C$15,Inputs_IAS19!$C$16))*INDEX(ILT!$B$2:$C$122,MIN(C33,120)+1,IF($B$4="M",1,2))*(1-Inputs_IAS19!$C$17)^MAX(B33-Inputs_IAS19!$C$18,0)))</f>
        <v/>
      </c>
      <c r="E33">
        <f>E32*(1-D33)</f>
        <v/>
      </c>
      <c r="F33">
        <f>(E32+E33)/2</f>
        <v/>
      </c>
      <c r="G33">
        <f>IF(A33&lt;$B$6+1,0,IF(A33=$B$6+1,1,G32*(1+IF(B33=Inputs_IAS19!$C$7,Inputs_IAS19!$C$8,Inputs_IAS19!$C$6))))</f>
        <v/>
      </c>
      <c r="H33">
        <f>$B$14*G33*F33</f>
        <v/>
      </c>
      <c r="I33">
        <f>(1+Inputs_IAS19!$C$26)^-(A33-0.5)</f>
        <v/>
      </c>
      <c r="J33">
        <f>H33*I33</f>
        <v/>
      </c>
      <c r="K33">
        <f>H33*INDEX(Curve_IAS19!$D$2:$D$101,A33)</f>
        <v/>
      </c>
    </row>
    <row r="34">
      <c r="A34" t="n">
        <v>16</v>
      </c>
      <c r="B34">
        <f>Inputs_IAS19!$C$2+A34</f>
        <v/>
      </c>
      <c r="C34">
        <f>$B$5+A34-1</f>
        <v/>
      </c>
      <c r="D34">
        <f>IF(C34&gt;=120,1,MIN(1,IF(A34&lt;=$B$6,IF($B$4="M",Inputs_IAS19!$C$13,Inputs_IAS19!$C$14),IF($B$4="M",Inputs_IAS19!$C$15,Inputs_IAS19!$C$16))*INDEX(ILT!$B$2:$C$122,MIN(C34,120)+1,IF($B$4="M",1,2))*(1-Inputs_IAS19!$C$17)^MAX(B34-Inputs_IAS19!$C$18,0)))</f>
        <v/>
      </c>
      <c r="E34">
        <f>E33*(1-D34)</f>
        <v/>
      </c>
      <c r="F34">
        <f>(E33+E34)/2</f>
        <v/>
      </c>
      <c r="G34">
        <f>IF(A34&lt;$B$6+1,0,IF(A34=$B$6+1,1,G33*(1+IF(B34=Inputs_IAS19!$C$7,Inputs_IAS19!$C$8,Inputs_IAS19!$C$6))))</f>
        <v/>
      </c>
      <c r="H34">
        <f>$B$14*G34*F34</f>
        <v/>
      </c>
      <c r="I34">
        <f>(1+Inputs_IAS19!$C$26)^-(A34-0.5)</f>
        <v/>
      </c>
      <c r="J34">
        <f>H34*I34</f>
        <v/>
      </c>
      <c r="K34">
        <f>H34*INDEX(Curve_IAS19!$D$2:$D$101,A34)</f>
        <v/>
      </c>
    </row>
    <row r="35">
      <c r="A35" t="n">
        <v>17</v>
      </c>
      <c r="B35">
        <f>Inputs_IAS19!$C$2+A35</f>
        <v/>
      </c>
      <c r="C35">
        <f>$B$5+A35-1</f>
        <v/>
      </c>
      <c r="D35">
        <f>IF(C35&gt;=120,1,MIN(1,IF(A35&lt;=$B$6,IF($B$4="M",Inputs_IAS19!$C$13,Inputs_IAS19!$C$14),IF($B$4="M",Inputs_IAS19!$C$15,Inputs_IAS19!$C$16))*INDEX(ILT!$B$2:$C$122,MIN(C35,120)+1,IF($B$4="M",1,2))*(1-Inputs_IAS19!$C$17)^MAX(B35-Inputs_IAS19!$C$18,0)))</f>
        <v/>
      </c>
      <c r="E35">
        <f>E34*(1-D35)</f>
        <v/>
      </c>
      <c r="F35">
        <f>(E34+E35)/2</f>
        <v/>
      </c>
      <c r="G35">
        <f>IF(A35&lt;$B$6+1,0,IF(A35=$B$6+1,1,G34*(1+IF(B35=Inputs_IAS19!$C$7,Inputs_IAS19!$C$8,Inputs_IAS19!$C$6))))</f>
        <v/>
      </c>
      <c r="H35">
        <f>$B$14*G35*F35</f>
        <v/>
      </c>
      <c r="I35">
        <f>(1+Inputs_IAS19!$C$26)^-(A35-0.5)</f>
        <v/>
      </c>
      <c r="J35">
        <f>H35*I35</f>
        <v/>
      </c>
      <c r="K35">
        <f>H35*INDEX(Curve_IAS19!$D$2:$D$101,A35)</f>
        <v/>
      </c>
    </row>
    <row r="36">
      <c r="A36" t="n">
        <v>18</v>
      </c>
      <c r="B36">
        <f>Inputs_IAS19!$C$2+A36</f>
        <v/>
      </c>
      <c r="C36">
        <f>$B$5+A36-1</f>
        <v/>
      </c>
      <c r="D36">
        <f>IF(C36&gt;=120,1,MIN(1,IF(A36&lt;=$B$6,IF($B$4="M",Inputs_IAS19!$C$13,Inputs_IAS19!$C$14),IF($B$4="M",Inputs_IAS19!$C$15,Inputs_IAS19!$C$16))*INDEX(ILT!$B$2:$C$122,MIN(C36,120)+1,IF($B$4="M",1,2))*(1-Inputs_IAS19!$C$17)^MAX(B36-Inputs_IAS19!$C$18,0)))</f>
        <v/>
      </c>
      <c r="E36">
        <f>E35*(1-D36)</f>
        <v/>
      </c>
      <c r="F36">
        <f>(E35+E36)/2</f>
        <v/>
      </c>
      <c r="G36">
        <f>IF(A36&lt;$B$6+1,0,IF(A36=$B$6+1,1,G35*(1+IF(B36=Inputs_IAS19!$C$7,Inputs_IAS19!$C$8,Inputs_IAS19!$C$6))))</f>
        <v/>
      </c>
      <c r="H36">
        <f>$B$14*G36*F36</f>
        <v/>
      </c>
      <c r="I36">
        <f>(1+Inputs_IAS19!$C$26)^-(A36-0.5)</f>
        <v/>
      </c>
      <c r="J36">
        <f>H36*I36</f>
        <v/>
      </c>
      <c r="K36">
        <f>H36*INDEX(Curve_IAS19!$D$2:$D$101,A36)</f>
        <v/>
      </c>
    </row>
    <row r="37">
      <c r="A37" t="n">
        <v>19</v>
      </c>
      <c r="B37">
        <f>Inputs_IAS19!$C$2+A37</f>
        <v/>
      </c>
      <c r="C37">
        <f>$B$5+A37-1</f>
        <v/>
      </c>
      <c r="D37">
        <f>IF(C37&gt;=120,1,MIN(1,IF(A37&lt;=$B$6,IF($B$4="M",Inputs_IAS19!$C$13,Inputs_IAS19!$C$14),IF($B$4="M",Inputs_IAS19!$C$15,Inputs_IAS19!$C$16))*INDEX(ILT!$B$2:$C$122,MIN(C37,120)+1,IF($B$4="M",1,2))*(1-Inputs_IAS19!$C$17)^MAX(B37-Inputs_IAS19!$C$18,0)))</f>
        <v/>
      </c>
      <c r="E37">
        <f>E36*(1-D37)</f>
        <v/>
      </c>
      <c r="F37">
        <f>(E36+E37)/2</f>
        <v/>
      </c>
      <c r="G37">
        <f>IF(A37&lt;$B$6+1,0,IF(A37=$B$6+1,1,G36*(1+IF(B37=Inputs_IAS19!$C$7,Inputs_IAS19!$C$8,Inputs_IAS19!$C$6))))</f>
        <v/>
      </c>
      <c r="H37">
        <f>$B$14*G37*F37</f>
        <v/>
      </c>
      <c r="I37">
        <f>(1+Inputs_IAS19!$C$26)^-(A37-0.5)</f>
        <v/>
      </c>
      <c r="J37">
        <f>H37*I37</f>
        <v/>
      </c>
      <c r="K37">
        <f>H37*INDEX(Curve_IAS19!$D$2:$D$101,A37)</f>
        <v/>
      </c>
    </row>
    <row r="38">
      <c r="A38" t="n">
        <v>20</v>
      </c>
      <c r="B38">
        <f>Inputs_IAS19!$C$2+A38</f>
        <v/>
      </c>
      <c r="C38">
        <f>$B$5+A38-1</f>
        <v/>
      </c>
      <c r="D38">
        <f>IF(C38&gt;=120,1,MIN(1,IF(A38&lt;=$B$6,IF($B$4="M",Inputs_IAS19!$C$13,Inputs_IAS19!$C$14),IF($B$4="M",Inputs_IAS19!$C$15,Inputs_IAS19!$C$16))*INDEX(ILT!$B$2:$C$122,MIN(C38,120)+1,IF($B$4="M",1,2))*(1-Inputs_IAS19!$C$17)^MAX(B38-Inputs_IAS19!$C$18,0)))</f>
        <v/>
      </c>
      <c r="E38">
        <f>E37*(1-D38)</f>
        <v/>
      </c>
      <c r="F38">
        <f>(E37+E38)/2</f>
        <v/>
      </c>
      <c r="G38">
        <f>IF(A38&lt;$B$6+1,0,IF(A38=$B$6+1,1,G37*(1+IF(B38=Inputs_IAS19!$C$7,Inputs_IAS19!$C$8,Inputs_IAS19!$C$6))))</f>
        <v/>
      </c>
      <c r="H38">
        <f>$B$14*G38*F38</f>
        <v/>
      </c>
      <c r="I38">
        <f>(1+Inputs_IAS19!$C$26)^-(A38-0.5)</f>
        <v/>
      </c>
      <c r="J38">
        <f>H38*I38</f>
        <v/>
      </c>
      <c r="K38">
        <f>H38*INDEX(Curve_IAS19!$D$2:$D$101,A38)</f>
        <v/>
      </c>
    </row>
    <row r="39">
      <c r="A39" t="n">
        <v>21</v>
      </c>
      <c r="B39">
        <f>Inputs_IAS19!$C$2+A39</f>
        <v/>
      </c>
      <c r="C39">
        <f>$B$5+A39-1</f>
        <v/>
      </c>
      <c r="D39">
        <f>IF(C39&gt;=120,1,MIN(1,IF(A39&lt;=$B$6,IF($B$4="M",Inputs_IAS19!$C$13,Inputs_IAS19!$C$14),IF($B$4="M",Inputs_IAS19!$C$15,Inputs_IAS19!$C$16))*INDEX(ILT!$B$2:$C$122,MIN(C39,120)+1,IF($B$4="M",1,2))*(1-Inputs_IAS19!$C$17)^MAX(B39-Inputs_IAS19!$C$18,0)))</f>
        <v/>
      </c>
      <c r="E39">
        <f>E38*(1-D39)</f>
        <v/>
      </c>
      <c r="F39">
        <f>(E38+E39)/2</f>
        <v/>
      </c>
      <c r="G39">
        <f>IF(A39&lt;$B$6+1,0,IF(A39=$B$6+1,1,G38*(1+IF(B39=Inputs_IAS19!$C$7,Inputs_IAS19!$C$8,Inputs_IAS19!$C$6))))</f>
        <v/>
      </c>
      <c r="H39">
        <f>$B$14*G39*F39</f>
        <v/>
      </c>
      <c r="I39">
        <f>(1+Inputs_IAS19!$C$26)^-(A39-0.5)</f>
        <v/>
      </c>
      <c r="J39">
        <f>H39*I39</f>
        <v/>
      </c>
      <c r="K39">
        <f>H39*INDEX(Curve_IAS19!$D$2:$D$101,A39)</f>
        <v/>
      </c>
    </row>
    <row r="40">
      <c r="A40" t="n">
        <v>22</v>
      </c>
      <c r="B40">
        <f>Inputs_IAS19!$C$2+A40</f>
        <v/>
      </c>
      <c r="C40">
        <f>$B$5+A40-1</f>
        <v/>
      </c>
      <c r="D40">
        <f>IF(C40&gt;=120,1,MIN(1,IF(A40&lt;=$B$6,IF($B$4="M",Inputs_IAS19!$C$13,Inputs_IAS19!$C$14),IF($B$4="M",Inputs_IAS19!$C$15,Inputs_IAS19!$C$16))*INDEX(ILT!$B$2:$C$122,MIN(C40,120)+1,IF($B$4="M",1,2))*(1-Inputs_IAS19!$C$17)^MAX(B40-Inputs_IAS19!$C$18,0)))</f>
        <v/>
      </c>
      <c r="E40">
        <f>E39*(1-D40)</f>
        <v/>
      </c>
      <c r="F40">
        <f>(E39+E40)/2</f>
        <v/>
      </c>
      <c r="G40">
        <f>IF(A40&lt;$B$6+1,0,IF(A40=$B$6+1,1,G39*(1+IF(B40=Inputs_IAS19!$C$7,Inputs_IAS19!$C$8,Inputs_IAS19!$C$6))))</f>
        <v/>
      </c>
      <c r="H40">
        <f>$B$14*G40*F40</f>
        <v/>
      </c>
      <c r="I40">
        <f>(1+Inputs_IAS19!$C$26)^-(A40-0.5)</f>
        <v/>
      </c>
      <c r="J40">
        <f>H40*I40</f>
        <v/>
      </c>
      <c r="K40">
        <f>H40*INDEX(Curve_IAS19!$D$2:$D$101,A40)</f>
        <v/>
      </c>
    </row>
    <row r="41">
      <c r="A41" t="n">
        <v>23</v>
      </c>
      <c r="B41">
        <f>Inputs_IAS19!$C$2+A41</f>
        <v/>
      </c>
      <c r="C41">
        <f>$B$5+A41-1</f>
        <v/>
      </c>
      <c r="D41">
        <f>IF(C41&gt;=120,1,MIN(1,IF(A41&lt;=$B$6,IF($B$4="M",Inputs_IAS19!$C$13,Inputs_IAS19!$C$14),IF($B$4="M",Inputs_IAS19!$C$15,Inputs_IAS19!$C$16))*INDEX(ILT!$B$2:$C$122,MIN(C41,120)+1,IF($B$4="M",1,2))*(1-Inputs_IAS19!$C$17)^MAX(B41-Inputs_IAS19!$C$18,0)))</f>
        <v/>
      </c>
      <c r="E41">
        <f>E40*(1-D41)</f>
        <v/>
      </c>
      <c r="F41">
        <f>(E40+E41)/2</f>
        <v/>
      </c>
      <c r="G41">
        <f>IF(A41&lt;$B$6+1,0,IF(A41=$B$6+1,1,G40*(1+IF(B41=Inputs_IAS19!$C$7,Inputs_IAS19!$C$8,Inputs_IAS19!$C$6))))</f>
        <v/>
      </c>
      <c r="H41">
        <f>$B$14*G41*F41</f>
        <v/>
      </c>
      <c r="I41">
        <f>(1+Inputs_IAS19!$C$26)^-(A41-0.5)</f>
        <v/>
      </c>
      <c r="J41">
        <f>H41*I41</f>
        <v/>
      </c>
      <c r="K41">
        <f>H41*INDEX(Curve_IAS19!$D$2:$D$101,A41)</f>
        <v/>
      </c>
    </row>
    <row r="42">
      <c r="A42" t="n">
        <v>24</v>
      </c>
      <c r="B42">
        <f>Inputs_IAS19!$C$2+A42</f>
        <v/>
      </c>
      <c r="C42">
        <f>$B$5+A42-1</f>
        <v/>
      </c>
      <c r="D42">
        <f>IF(C42&gt;=120,1,MIN(1,IF(A42&lt;=$B$6,IF($B$4="M",Inputs_IAS19!$C$13,Inputs_IAS19!$C$14),IF($B$4="M",Inputs_IAS19!$C$15,Inputs_IAS19!$C$16))*INDEX(ILT!$B$2:$C$122,MIN(C42,120)+1,IF($B$4="M",1,2))*(1-Inputs_IAS19!$C$17)^MAX(B42-Inputs_IAS19!$C$18,0)))</f>
        <v/>
      </c>
      <c r="E42">
        <f>E41*(1-D42)</f>
        <v/>
      </c>
      <c r="F42">
        <f>(E41+E42)/2</f>
        <v/>
      </c>
      <c r="G42">
        <f>IF(A42&lt;$B$6+1,0,IF(A42=$B$6+1,1,G41*(1+IF(B42=Inputs_IAS19!$C$7,Inputs_IAS19!$C$8,Inputs_IAS19!$C$6))))</f>
        <v/>
      </c>
      <c r="H42">
        <f>$B$14*G42*F42</f>
        <v/>
      </c>
      <c r="I42">
        <f>(1+Inputs_IAS19!$C$26)^-(A42-0.5)</f>
        <v/>
      </c>
      <c r="J42">
        <f>H42*I42</f>
        <v/>
      </c>
      <c r="K42">
        <f>H42*INDEX(Curve_IAS19!$D$2:$D$101,A42)</f>
        <v/>
      </c>
    </row>
    <row r="43">
      <c r="A43" t="n">
        <v>25</v>
      </c>
      <c r="B43">
        <f>Inputs_IAS19!$C$2+A43</f>
        <v/>
      </c>
      <c r="C43">
        <f>$B$5+A43-1</f>
        <v/>
      </c>
      <c r="D43">
        <f>IF(C43&gt;=120,1,MIN(1,IF(A43&lt;=$B$6,IF($B$4="M",Inputs_IAS19!$C$13,Inputs_IAS19!$C$14),IF($B$4="M",Inputs_IAS19!$C$15,Inputs_IAS19!$C$16))*INDEX(ILT!$B$2:$C$122,MIN(C43,120)+1,IF($B$4="M",1,2))*(1-Inputs_IAS19!$C$17)^MAX(B43-Inputs_IAS19!$C$18,0)))</f>
        <v/>
      </c>
      <c r="E43">
        <f>E42*(1-D43)</f>
        <v/>
      </c>
      <c r="F43">
        <f>(E42+E43)/2</f>
        <v/>
      </c>
      <c r="G43">
        <f>IF(A43&lt;$B$6+1,0,IF(A43=$B$6+1,1,G42*(1+IF(B43=Inputs_IAS19!$C$7,Inputs_IAS19!$C$8,Inputs_IAS19!$C$6))))</f>
        <v/>
      </c>
      <c r="H43">
        <f>$B$14*G43*F43</f>
        <v/>
      </c>
      <c r="I43">
        <f>(1+Inputs_IAS19!$C$26)^-(A43-0.5)</f>
        <v/>
      </c>
      <c r="J43">
        <f>H43*I43</f>
        <v/>
      </c>
      <c r="K43">
        <f>H43*INDEX(Curve_IAS19!$D$2:$D$101,A43)</f>
        <v/>
      </c>
    </row>
    <row r="44">
      <c r="A44" t="n">
        <v>26</v>
      </c>
      <c r="B44">
        <f>Inputs_IAS19!$C$2+A44</f>
        <v/>
      </c>
      <c r="C44">
        <f>$B$5+A44-1</f>
        <v/>
      </c>
      <c r="D44">
        <f>IF(C44&gt;=120,1,MIN(1,IF(A44&lt;=$B$6,IF($B$4="M",Inputs_IAS19!$C$13,Inputs_IAS19!$C$14),IF($B$4="M",Inputs_IAS19!$C$15,Inputs_IAS19!$C$16))*INDEX(ILT!$B$2:$C$122,MIN(C44,120)+1,IF($B$4="M",1,2))*(1-Inputs_IAS19!$C$17)^MAX(B44-Inputs_IAS19!$C$18,0)))</f>
        <v/>
      </c>
      <c r="E44">
        <f>E43*(1-D44)</f>
        <v/>
      </c>
      <c r="F44">
        <f>(E43+E44)/2</f>
        <v/>
      </c>
      <c r="G44">
        <f>IF(A44&lt;$B$6+1,0,IF(A44=$B$6+1,1,G43*(1+IF(B44=Inputs_IAS19!$C$7,Inputs_IAS19!$C$8,Inputs_IAS19!$C$6))))</f>
        <v/>
      </c>
      <c r="H44">
        <f>$B$14*G44*F44</f>
        <v/>
      </c>
      <c r="I44">
        <f>(1+Inputs_IAS19!$C$26)^-(A44-0.5)</f>
        <v/>
      </c>
      <c r="J44">
        <f>H44*I44</f>
        <v/>
      </c>
      <c r="K44">
        <f>H44*INDEX(Curve_IAS19!$D$2:$D$101,A44)</f>
        <v/>
      </c>
    </row>
    <row r="45">
      <c r="A45" t="n">
        <v>27</v>
      </c>
      <c r="B45">
        <f>Inputs_IAS19!$C$2+A45</f>
        <v/>
      </c>
      <c r="C45">
        <f>$B$5+A45-1</f>
        <v/>
      </c>
      <c r="D45">
        <f>IF(C45&gt;=120,1,MIN(1,IF(A45&lt;=$B$6,IF($B$4="M",Inputs_IAS19!$C$13,Inputs_IAS19!$C$14),IF($B$4="M",Inputs_IAS19!$C$15,Inputs_IAS19!$C$16))*INDEX(ILT!$B$2:$C$122,MIN(C45,120)+1,IF($B$4="M",1,2))*(1-Inputs_IAS19!$C$17)^MAX(B45-Inputs_IAS19!$C$18,0)))</f>
        <v/>
      </c>
      <c r="E45">
        <f>E44*(1-D45)</f>
        <v/>
      </c>
      <c r="F45">
        <f>(E44+E45)/2</f>
        <v/>
      </c>
      <c r="G45">
        <f>IF(A45&lt;$B$6+1,0,IF(A45=$B$6+1,1,G44*(1+IF(B45=Inputs_IAS19!$C$7,Inputs_IAS19!$C$8,Inputs_IAS19!$C$6))))</f>
        <v/>
      </c>
      <c r="H45">
        <f>$B$14*G45*F45</f>
        <v/>
      </c>
      <c r="I45">
        <f>(1+Inputs_IAS19!$C$26)^-(A45-0.5)</f>
        <v/>
      </c>
      <c r="J45">
        <f>H45*I45</f>
        <v/>
      </c>
      <c r="K45">
        <f>H45*INDEX(Curve_IAS19!$D$2:$D$101,A45)</f>
        <v/>
      </c>
    </row>
    <row r="46">
      <c r="A46" t="n">
        <v>28</v>
      </c>
      <c r="B46">
        <f>Inputs_IAS19!$C$2+A46</f>
        <v/>
      </c>
      <c r="C46">
        <f>$B$5+A46-1</f>
        <v/>
      </c>
      <c r="D46">
        <f>IF(C46&gt;=120,1,MIN(1,IF(A46&lt;=$B$6,IF($B$4="M",Inputs_IAS19!$C$13,Inputs_IAS19!$C$14),IF($B$4="M",Inputs_IAS19!$C$15,Inputs_IAS19!$C$16))*INDEX(ILT!$B$2:$C$122,MIN(C46,120)+1,IF($B$4="M",1,2))*(1-Inputs_IAS19!$C$17)^MAX(B46-Inputs_IAS19!$C$18,0)))</f>
        <v/>
      </c>
      <c r="E46">
        <f>E45*(1-D46)</f>
        <v/>
      </c>
      <c r="F46">
        <f>(E45+E46)/2</f>
        <v/>
      </c>
      <c r="G46">
        <f>IF(A46&lt;$B$6+1,0,IF(A46=$B$6+1,1,G45*(1+IF(B46=Inputs_IAS19!$C$7,Inputs_IAS19!$C$8,Inputs_IAS19!$C$6))))</f>
        <v/>
      </c>
      <c r="H46">
        <f>$B$14*G46*F46</f>
        <v/>
      </c>
      <c r="I46">
        <f>(1+Inputs_IAS19!$C$26)^-(A46-0.5)</f>
        <v/>
      </c>
      <c r="J46">
        <f>H46*I46</f>
        <v/>
      </c>
      <c r="K46">
        <f>H46*INDEX(Curve_IAS19!$D$2:$D$101,A46)</f>
        <v/>
      </c>
    </row>
    <row r="47">
      <c r="A47" t="n">
        <v>29</v>
      </c>
      <c r="B47">
        <f>Inputs_IAS19!$C$2+A47</f>
        <v/>
      </c>
      <c r="C47">
        <f>$B$5+A47-1</f>
        <v/>
      </c>
      <c r="D47">
        <f>IF(C47&gt;=120,1,MIN(1,IF(A47&lt;=$B$6,IF($B$4="M",Inputs_IAS19!$C$13,Inputs_IAS19!$C$14),IF($B$4="M",Inputs_IAS19!$C$15,Inputs_IAS19!$C$16))*INDEX(ILT!$B$2:$C$122,MIN(C47,120)+1,IF($B$4="M",1,2))*(1-Inputs_IAS19!$C$17)^MAX(B47-Inputs_IAS19!$C$18,0)))</f>
        <v/>
      </c>
      <c r="E47">
        <f>E46*(1-D47)</f>
        <v/>
      </c>
      <c r="F47">
        <f>(E46+E47)/2</f>
        <v/>
      </c>
      <c r="G47">
        <f>IF(A47&lt;$B$6+1,0,IF(A47=$B$6+1,1,G46*(1+IF(B47=Inputs_IAS19!$C$7,Inputs_IAS19!$C$8,Inputs_IAS19!$C$6))))</f>
        <v/>
      </c>
      <c r="H47">
        <f>$B$14*G47*F47</f>
        <v/>
      </c>
      <c r="I47">
        <f>(1+Inputs_IAS19!$C$26)^-(A47-0.5)</f>
        <v/>
      </c>
      <c r="J47">
        <f>H47*I47</f>
        <v/>
      </c>
      <c r="K47">
        <f>H47*INDEX(Curve_IAS19!$D$2:$D$101,A47)</f>
        <v/>
      </c>
    </row>
    <row r="48">
      <c r="A48" t="n">
        <v>30</v>
      </c>
      <c r="B48">
        <f>Inputs_IAS19!$C$2+A48</f>
        <v/>
      </c>
      <c r="C48">
        <f>$B$5+A48-1</f>
        <v/>
      </c>
      <c r="D48">
        <f>IF(C48&gt;=120,1,MIN(1,IF(A48&lt;=$B$6,IF($B$4="M",Inputs_IAS19!$C$13,Inputs_IAS19!$C$14),IF($B$4="M",Inputs_IAS19!$C$15,Inputs_IAS19!$C$16))*INDEX(ILT!$B$2:$C$122,MIN(C48,120)+1,IF($B$4="M",1,2))*(1-Inputs_IAS19!$C$17)^MAX(B48-Inputs_IAS19!$C$18,0)))</f>
        <v/>
      </c>
      <c r="E48">
        <f>E47*(1-D48)</f>
        <v/>
      </c>
      <c r="F48">
        <f>(E47+E48)/2</f>
        <v/>
      </c>
      <c r="G48">
        <f>IF(A48&lt;$B$6+1,0,IF(A48=$B$6+1,1,G47*(1+IF(B48=Inputs_IAS19!$C$7,Inputs_IAS19!$C$8,Inputs_IAS19!$C$6))))</f>
        <v/>
      </c>
      <c r="H48">
        <f>$B$14*G48*F48</f>
        <v/>
      </c>
      <c r="I48">
        <f>(1+Inputs_IAS19!$C$26)^-(A48-0.5)</f>
        <v/>
      </c>
      <c r="J48">
        <f>H48*I48</f>
        <v/>
      </c>
      <c r="K48">
        <f>H48*INDEX(Curve_IAS19!$D$2:$D$101,A48)</f>
        <v/>
      </c>
    </row>
    <row r="49">
      <c r="A49" t="n">
        <v>31</v>
      </c>
      <c r="B49">
        <f>Inputs_IAS19!$C$2+A49</f>
        <v/>
      </c>
      <c r="C49">
        <f>$B$5+A49-1</f>
        <v/>
      </c>
      <c r="D49">
        <f>IF(C49&gt;=120,1,MIN(1,IF(A49&lt;=$B$6,IF($B$4="M",Inputs_IAS19!$C$13,Inputs_IAS19!$C$14),IF($B$4="M",Inputs_IAS19!$C$15,Inputs_IAS19!$C$16))*INDEX(ILT!$B$2:$C$122,MIN(C49,120)+1,IF($B$4="M",1,2))*(1-Inputs_IAS19!$C$17)^MAX(B49-Inputs_IAS19!$C$18,0)))</f>
        <v/>
      </c>
      <c r="E49">
        <f>E48*(1-D49)</f>
        <v/>
      </c>
      <c r="F49">
        <f>(E48+E49)/2</f>
        <v/>
      </c>
      <c r="G49">
        <f>IF(A49&lt;$B$6+1,0,IF(A49=$B$6+1,1,G48*(1+IF(B49=Inputs_IAS19!$C$7,Inputs_IAS19!$C$8,Inputs_IAS19!$C$6))))</f>
        <v/>
      </c>
      <c r="H49">
        <f>$B$14*G49*F49</f>
        <v/>
      </c>
      <c r="I49">
        <f>(1+Inputs_IAS19!$C$26)^-(A49-0.5)</f>
        <v/>
      </c>
      <c r="J49">
        <f>H49*I49</f>
        <v/>
      </c>
      <c r="K49">
        <f>H49*INDEX(Curve_IAS19!$D$2:$D$101,A49)</f>
        <v/>
      </c>
    </row>
    <row r="50">
      <c r="A50" t="n">
        <v>32</v>
      </c>
      <c r="B50">
        <f>Inputs_IAS19!$C$2+A50</f>
        <v/>
      </c>
      <c r="C50">
        <f>$B$5+A50-1</f>
        <v/>
      </c>
      <c r="D50">
        <f>IF(C50&gt;=120,1,MIN(1,IF(A50&lt;=$B$6,IF($B$4="M",Inputs_IAS19!$C$13,Inputs_IAS19!$C$14),IF($B$4="M",Inputs_IAS19!$C$15,Inputs_IAS19!$C$16))*INDEX(ILT!$B$2:$C$122,MIN(C50,120)+1,IF($B$4="M",1,2))*(1-Inputs_IAS19!$C$17)^MAX(B50-Inputs_IAS19!$C$18,0)))</f>
        <v/>
      </c>
      <c r="E50">
        <f>E49*(1-D50)</f>
        <v/>
      </c>
      <c r="F50">
        <f>(E49+E50)/2</f>
        <v/>
      </c>
      <c r="G50">
        <f>IF(A50&lt;$B$6+1,0,IF(A50=$B$6+1,1,G49*(1+IF(B50=Inputs_IAS19!$C$7,Inputs_IAS19!$C$8,Inputs_IAS19!$C$6))))</f>
        <v/>
      </c>
      <c r="H50">
        <f>$B$14*G50*F50</f>
        <v/>
      </c>
      <c r="I50">
        <f>(1+Inputs_IAS19!$C$26)^-(A50-0.5)</f>
        <v/>
      </c>
      <c r="J50">
        <f>H50*I50</f>
        <v/>
      </c>
      <c r="K50">
        <f>H50*INDEX(Curve_IAS19!$D$2:$D$101,A50)</f>
        <v/>
      </c>
    </row>
    <row r="51">
      <c r="A51" t="n">
        <v>33</v>
      </c>
      <c r="B51">
        <f>Inputs_IAS19!$C$2+A51</f>
        <v/>
      </c>
      <c r="C51">
        <f>$B$5+A51-1</f>
        <v/>
      </c>
      <c r="D51">
        <f>IF(C51&gt;=120,1,MIN(1,IF(A51&lt;=$B$6,IF($B$4="M",Inputs_IAS19!$C$13,Inputs_IAS19!$C$14),IF($B$4="M",Inputs_IAS19!$C$15,Inputs_IAS19!$C$16))*INDEX(ILT!$B$2:$C$122,MIN(C51,120)+1,IF($B$4="M",1,2))*(1-Inputs_IAS19!$C$17)^MAX(B51-Inputs_IAS19!$C$18,0)))</f>
        <v/>
      </c>
      <c r="E51">
        <f>E50*(1-D51)</f>
        <v/>
      </c>
      <c r="F51">
        <f>(E50+E51)/2</f>
        <v/>
      </c>
      <c r="G51">
        <f>IF(A51&lt;$B$6+1,0,IF(A51=$B$6+1,1,G50*(1+IF(B51=Inputs_IAS19!$C$7,Inputs_IAS19!$C$8,Inputs_IAS19!$C$6))))</f>
        <v/>
      </c>
      <c r="H51">
        <f>$B$14*G51*F51</f>
        <v/>
      </c>
      <c r="I51">
        <f>(1+Inputs_IAS19!$C$26)^-(A51-0.5)</f>
        <v/>
      </c>
      <c r="J51">
        <f>H51*I51</f>
        <v/>
      </c>
      <c r="K51">
        <f>H51*INDEX(Curve_IAS19!$D$2:$D$101,A51)</f>
        <v/>
      </c>
    </row>
    <row r="52">
      <c r="A52" t="n">
        <v>34</v>
      </c>
      <c r="B52">
        <f>Inputs_IAS19!$C$2+A52</f>
        <v/>
      </c>
      <c r="C52">
        <f>$B$5+A52-1</f>
        <v/>
      </c>
      <c r="D52">
        <f>IF(C52&gt;=120,1,MIN(1,IF(A52&lt;=$B$6,IF($B$4="M",Inputs_IAS19!$C$13,Inputs_IAS19!$C$14),IF($B$4="M",Inputs_IAS19!$C$15,Inputs_IAS19!$C$16))*INDEX(ILT!$B$2:$C$122,MIN(C52,120)+1,IF($B$4="M",1,2))*(1-Inputs_IAS19!$C$17)^MAX(B52-Inputs_IAS19!$C$18,0)))</f>
        <v/>
      </c>
      <c r="E52">
        <f>E51*(1-D52)</f>
        <v/>
      </c>
      <c r="F52">
        <f>(E51+E52)/2</f>
        <v/>
      </c>
      <c r="G52">
        <f>IF(A52&lt;$B$6+1,0,IF(A52=$B$6+1,1,G51*(1+IF(B52=Inputs_IAS19!$C$7,Inputs_IAS19!$C$8,Inputs_IAS19!$C$6))))</f>
        <v/>
      </c>
      <c r="H52">
        <f>$B$14*G52*F52</f>
        <v/>
      </c>
      <c r="I52">
        <f>(1+Inputs_IAS19!$C$26)^-(A52-0.5)</f>
        <v/>
      </c>
      <c r="J52">
        <f>H52*I52</f>
        <v/>
      </c>
      <c r="K52">
        <f>H52*INDEX(Curve_IAS19!$D$2:$D$101,A52)</f>
        <v/>
      </c>
    </row>
    <row r="53">
      <c r="A53" t="n">
        <v>35</v>
      </c>
      <c r="B53">
        <f>Inputs_IAS19!$C$2+A53</f>
        <v/>
      </c>
      <c r="C53">
        <f>$B$5+A53-1</f>
        <v/>
      </c>
      <c r="D53">
        <f>IF(C53&gt;=120,1,MIN(1,IF(A53&lt;=$B$6,IF($B$4="M",Inputs_IAS19!$C$13,Inputs_IAS19!$C$14),IF($B$4="M",Inputs_IAS19!$C$15,Inputs_IAS19!$C$16))*INDEX(ILT!$B$2:$C$122,MIN(C53,120)+1,IF($B$4="M",1,2))*(1-Inputs_IAS19!$C$17)^MAX(B53-Inputs_IAS19!$C$18,0)))</f>
        <v/>
      </c>
      <c r="E53">
        <f>E52*(1-D53)</f>
        <v/>
      </c>
      <c r="F53">
        <f>(E52+E53)/2</f>
        <v/>
      </c>
      <c r="G53">
        <f>IF(A53&lt;$B$6+1,0,IF(A53=$B$6+1,1,G52*(1+IF(B53=Inputs_IAS19!$C$7,Inputs_IAS19!$C$8,Inputs_IAS19!$C$6))))</f>
        <v/>
      </c>
      <c r="H53">
        <f>$B$14*G53*F53</f>
        <v/>
      </c>
      <c r="I53">
        <f>(1+Inputs_IAS19!$C$26)^-(A53-0.5)</f>
        <v/>
      </c>
      <c r="J53">
        <f>H53*I53</f>
        <v/>
      </c>
      <c r="K53">
        <f>H53*INDEX(Curve_IAS19!$D$2:$D$101,A53)</f>
        <v/>
      </c>
    </row>
    <row r="54">
      <c r="A54" t="n">
        <v>36</v>
      </c>
      <c r="B54">
        <f>Inputs_IAS19!$C$2+A54</f>
        <v/>
      </c>
      <c r="C54">
        <f>$B$5+A54-1</f>
        <v/>
      </c>
      <c r="D54">
        <f>IF(C54&gt;=120,1,MIN(1,IF(A54&lt;=$B$6,IF($B$4="M",Inputs_IAS19!$C$13,Inputs_IAS19!$C$14),IF($B$4="M",Inputs_IAS19!$C$15,Inputs_IAS19!$C$16))*INDEX(ILT!$B$2:$C$122,MIN(C54,120)+1,IF($B$4="M",1,2))*(1-Inputs_IAS19!$C$17)^MAX(B54-Inputs_IAS19!$C$18,0)))</f>
        <v/>
      </c>
      <c r="E54">
        <f>E53*(1-D54)</f>
        <v/>
      </c>
      <c r="F54">
        <f>(E53+E54)/2</f>
        <v/>
      </c>
      <c r="G54">
        <f>IF(A54&lt;$B$6+1,0,IF(A54=$B$6+1,1,G53*(1+IF(B54=Inputs_IAS19!$C$7,Inputs_IAS19!$C$8,Inputs_IAS19!$C$6))))</f>
        <v/>
      </c>
      <c r="H54">
        <f>$B$14*G54*F54</f>
        <v/>
      </c>
      <c r="I54">
        <f>(1+Inputs_IAS19!$C$26)^-(A54-0.5)</f>
        <v/>
      </c>
      <c r="J54">
        <f>H54*I54</f>
        <v/>
      </c>
      <c r="K54">
        <f>H54*INDEX(Curve_IAS19!$D$2:$D$101,A54)</f>
        <v/>
      </c>
    </row>
    <row r="55">
      <c r="A55" t="n">
        <v>37</v>
      </c>
      <c r="B55">
        <f>Inputs_IAS19!$C$2+A55</f>
        <v/>
      </c>
      <c r="C55">
        <f>$B$5+A55-1</f>
        <v/>
      </c>
      <c r="D55">
        <f>IF(C55&gt;=120,1,MIN(1,IF(A55&lt;=$B$6,IF($B$4="M",Inputs_IAS19!$C$13,Inputs_IAS19!$C$14),IF($B$4="M",Inputs_IAS19!$C$15,Inputs_IAS19!$C$16))*INDEX(ILT!$B$2:$C$122,MIN(C55,120)+1,IF($B$4="M",1,2))*(1-Inputs_IAS19!$C$17)^MAX(B55-Inputs_IAS19!$C$18,0)))</f>
        <v/>
      </c>
      <c r="E55">
        <f>E54*(1-D55)</f>
        <v/>
      </c>
      <c r="F55">
        <f>(E54+E55)/2</f>
        <v/>
      </c>
      <c r="G55">
        <f>IF(A55&lt;$B$6+1,0,IF(A55=$B$6+1,1,G54*(1+IF(B55=Inputs_IAS19!$C$7,Inputs_IAS19!$C$8,Inputs_IAS19!$C$6))))</f>
        <v/>
      </c>
      <c r="H55">
        <f>$B$14*G55*F55</f>
        <v/>
      </c>
      <c r="I55">
        <f>(1+Inputs_IAS19!$C$26)^-(A55-0.5)</f>
        <v/>
      </c>
      <c r="J55">
        <f>H55*I55</f>
        <v/>
      </c>
      <c r="K55">
        <f>H55*INDEX(Curve_IAS19!$D$2:$D$101,A55)</f>
        <v/>
      </c>
    </row>
    <row r="56">
      <c r="A56" t="n">
        <v>38</v>
      </c>
      <c r="B56">
        <f>Inputs_IAS19!$C$2+A56</f>
        <v/>
      </c>
      <c r="C56">
        <f>$B$5+A56-1</f>
        <v/>
      </c>
      <c r="D56">
        <f>IF(C56&gt;=120,1,MIN(1,IF(A56&lt;=$B$6,IF($B$4="M",Inputs_IAS19!$C$13,Inputs_IAS19!$C$14),IF($B$4="M",Inputs_IAS19!$C$15,Inputs_IAS19!$C$16))*INDEX(ILT!$B$2:$C$122,MIN(C56,120)+1,IF($B$4="M",1,2))*(1-Inputs_IAS19!$C$17)^MAX(B56-Inputs_IAS19!$C$18,0)))</f>
        <v/>
      </c>
      <c r="E56">
        <f>E55*(1-D56)</f>
        <v/>
      </c>
      <c r="F56">
        <f>(E55+E56)/2</f>
        <v/>
      </c>
      <c r="G56">
        <f>IF(A56&lt;$B$6+1,0,IF(A56=$B$6+1,1,G55*(1+IF(B56=Inputs_IAS19!$C$7,Inputs_IAS19!$C$8,Inputs_IAS19!$C$6))))</f>
        <v/>
      </c>
      <c r="H56">
        <f>$B$14*G56*F56</f>
        <v/>
      </c>
      <c r="I56">
        <f>(1+Inputs_IAS19!$C$26)^-(A56-0.5)</f>
        <v/>
      </c>
      <c r="J56">
        <f>H56*I56</f>
        <v/>
      </c>
      <c r="K56">
        <f>H56*INDEX(Curve_IAS19!$D$2:$D$101,A56)</f>
        <v/>
      </c>
    </row>
    <row r="57">
      <c r="A57" t="n">
        <v>39</v>
      </c>
      <c r="B57">
        <f>Inputs_IAS19!$C$2+A57</f>
        <v/>
      </c>
      <c r="C57">
        <f>$B$5+A57-1</f>
        <v/>
      </c>
      <c r="D57">
        <f>IF(C57&gt;=120,1,MIN(1,IF(A57&lt;=$B$6,IF($B$4="M",Inputs_IAS19!$C$13,Inputs_IAS19!$C$14),IF($B$4="M",Inputs_IAS19!$C$15,Inputs_IAS19!$C$16))*INDEX(ILT!$B$2:$C$122,MIN(C57,120)+1,IF($B$4="M",1,2))*(1-Inputs_IAS19!$C$17)^MAX(B57-Inputs_IAS19!$C$18,0)))</f>
        <v/>
      </c>
      <c r="E57">
        <f>E56*(1-D57)</f>
        <v/>
      </c>
      <c r="F57">
        <f>(E56+E57)/2</f>
        <v/>
      </c>
      <c r="G57">
        <f>IF(A57&lt;$B$6+1,0,IF(A57=$B$6+1,1,G56*(1+IF(B57=Inputs_IAS19!$C$7,Inputs_IAS19!$C$8,Inputs_IAS19!$C$6))))</f>
        <v/>
      </c>
      <c r="H57">
        <f>$B$14*G57*F57</f>
        <v/>
      </c>
      <c r="I57">
        <f>(1+Inputs_IAS19!$C$26)^-(A57-0.5)</f>
        <v/>
      </c>
      <c r="J57">
        <f>H57*I57</f>
        <v/>
      </c>
      <c r="K57">
        <f>H57*INDEX(Curve_IAS19!$D$2:$D$101,A57)</f>
        <v/>
      </c>
    </row>
    <row r="58">
      <c r="A58" t="n">
        <v>40</v>
      </c>
      <c r="B58">
        <f>Inputs_IAS19!$C$2+A58</f>
        <v/>
      </c>
      <c r="C58">
        <f>$B$5+A58-1</f>
        <v/>
      </c>
      <c r="D58">
        <f>IF(C58&gt;=120,1,MIN(1,IF(A58&lt;=$B$6,IF($B$4="M",Inputs_IAS19!$C$13,Inputs_IAS19!$C$14),IF($B$4="M",Inputs_IAS19!$C$15,Inputs_IAS19!$C$16))*INDEX(ILT!$B$2:$C$122,MIN(C58,120)+1,IF($B$4="M",1,2))*(1-Inputs_IAS19!$C$17)^MAX(B58-Inputs_IAS19!$C$18,0)))</f>
        <v/>
      </c>
      <c r="E58">
        <f>E57*(1-D58)</f>
        <v/>
      </c>
      <c r="F58">
        <f>(E57+E58)/2</f>
        <v/>
      </c>
      <c r="G58">
        <f>IF(A58&lt;$B$6+1,0,IF(A58=$B$6+1,1,G57*(1+IF(B58=Inputs_IAS19!$C$7,Inputs_IAS19!$C$8,Inputs_IAS19!$C$6))))</f>
        <v/>
      </c>
      <c r="H58">
        <f>$B$14*G58*F58</f>
        <v/>
      </c>
      <c r="I58">
        <f>(1+Inputs_IAS19!$C$26)^-(A58-0.5)</f>
        <v/>
      </c>
      <c r="J58">
        <f>H58*I58</f>
        <v/>
      </c>
      <c r="K58">
        <f>H58*INDEX(Curve_IAS19!$D$2:$D$101,A58)</f>
        <v/>
      </c>
    </row>
    <row r="59">
      <c r="A59" t="n">
        <v>41</v>
      </c>
      <c r="B59">
        <f>Inputs_IAS19!$C$2+A59</f>
        <v/>
      </c>
      <c r="C59">
        <f>$B$5+A59-1</f>
        <v/>
      </c>
      <c r="D59">
        <f>IF(C59&gt;=120,1,MIN(1,IF(A59&lt;=$B$6,IF($B$4="M",Inputs_IAS19!$C$13,Inputs_IAS19!$C$14),IF($B$4="M",Inputs_IAS19!$C$15,Inputs_IAS19!$C$16))*INDEX(ILT!$B$2:$C$122,MIN(C59,120)+1,IF($B$4="M",1,2))*(1-Inputs_IAS19!$C$17)^MAX(B59-Inputs_IAS19!$C$18,0)))</f>
        <v/>
      </c>
      <c r="E59">
        <f>E58*(1-D59)</f>
        <v/>
      </c>
      <c r="F59">
        <f>(E58+E59)/2</f>
        <v/>
      </c>
      <c r="G59">
        <f>IF(A59&lt;$B$6+1,0,IF(A59=$B$6+1,1,G58*(1+IF(B59=Inputs_IAS19!$C$7,Inputs_IAS19!$C$8,Inputs_IAS19!$C$6))))</f>
        <v/>
      </c>
      <c r="H59">
        <f>$B$14*G59*F59</f>
        <v/>
      </c>
      <c r="I59">
        <f>(1+Inputs_IAS19!$C$26)^-(A59-0.5)</f>
        <v/>
      </c>
      <c r="J59">
        <f>H59*I59</f>
        <v/>
      </c>
      <c r="K59">
        <f>H59*INDEX(Curve_IAS19!$D$2:$D$101,A59)</f>
        <v/>
      </c>
    </row>
    <row r="60">
      <c r="A60" t="n">
        <v>42</v>
      </c>
      <c r="B60">
        <f>Inputs_IAS19!$C$2+A60</f>
        <v/>
      </c>
      <c r="C60">
        <f>$B$5+A60-1</f>
        <v/>
      </c>
      <c r="D60">
        <f>IF(C60&gt;=120,1,MIN(1,IF(A60&lt;=$B$6,IF($B$4="M",Inputs_IAS19!$C$13,Inputs_IAS19!$C$14),IF($B$4="M",Inputs_IAS19!$C$15,Inputs_IAS19!$C$16))*INDEX(ILT!$B$2:$C$122,MIN(C60,120)+1,IF($B$4="M",1,2))*(1-Inputs_IAS19!$C$17)^MAX(B60-Inputs_IAS19!$C$18,0)))</f>
        <v/>
      </c>
      <c r="E60">
        <f>E59*(1-D60)</f>
        <v/>
      </c>
      <c r="F60">
        <f>(E59+E60)/2</f>
        <v/>
      </c>
      <c r="G60">
        <f>IF(A60&lt;$B$6+1,0,IF(A60=$B$6+1,1,G59*(1+IF(B60=Inputs_IAS19!$C$7,Inputs_IAS19!$C$8,Inputs_IAS19!$C$6))))</f>
        <v/>
      </c>
      <c r="H60">
        <f>$B$14*G60*F60</f>
        <v/>
      </c>
      <c r="I60">
        <f>(1+Inputs_IAS19!$C$26)^-(A60-0.5)</f>
        <v/>
      </c>
      <c r="J60">
        <f>H60*I60</f>
        <v/>
      </c>
      <c r="K60">
        <f>H60*INDEX(Curve_IAS19!$D$2:$D$101,A60)</f>
        <v/>
      </c>
    </row>
    <row r="61">
      <c r="A61" t="n">
        <v>43</v>
      </c>
      <c r="B61">
        <f>Inputs_IAS19!$C$2+A61</f>
        <v/>
      </c>
      <c r="C61">
        <f>$B$5+A61-1</f>
        <v/>
      </c>
      <c r="D61">
        <f>IF(C61&gt;=120,1,MIN(1,IF(A61&lt;=$B$6,IF($B$4="M",Inputs_IAS19!$C$13,Inputs_IAS19!$C$14),IF($B$4="M",Inputs_IAS19!$C$15,Inputs_IAS19!$C$16))*INDEX(ILT!$B$2:$C$122,MIN(C61,120)+1,IF($B$4="M",1,2))*(1-Inputs_IAS19!$C$17)^MAX(B61-Inputs_IAS19!$C$18,0)))</f>
        <v/>
      </c>
      <c r="E61">
        <f>E60*(1-D61)</f>
        <v/>
      </c>
      <c r="F61">
        <f>(E60+E61)/2</f>
        <v/>
      </c>
      <c r="G61">
        <f>IF(A61&lt;$B$6+1,0,IF(A61=$B$6+1,1,G60*(1+IF(B61=Inputs_IAS19!$C$7,Inputs_IAS19!$C$8,Inputs_IAS19!$C$6))))</f>
        <v/>
      </c>
      <c r="H61">
        <f>$B$14*G61*F61</f>
        <v/>
      </c>
      <c r="I61">
        <f>(1+Inputs_IAS19!$C$26)^-(A61-0.5)</f>
        <v/>
      </c>
      <c r="J61">
        <f>H61*I61</f>
        <v/>
      </c>
      <c r="K61">
        <f>H61*INDEX(Curve_IAS19!$D$2:$D$101,A61)</f>
        <v/>
      </c>
    </row>
    <row r="62">
      <c r="A62" t="n">
        <v>44</v>
      </c>
      <c r="B62">
        <f>Inputs_IAS19!$C$2+A62</f>
        <v/>
      </c>
      <c r="C62">
        <f>$B$5+A62-1</f>
        <v/>
      </c>
      <c r="D62">
        <f>IF(C62&gt;=120,1,MIN(1,IF(A62&lt;=$B$6,IF($B$4="M",Inputs_IAS19!$C$13,Inputs_IAS19!$C$14),IF($B$4="M",Inputs_IAS19!$C$15,Inputs_IAS19!$C$16))*INDEX(ILT!$B$2:$C$122,MIN(C62,120)+1,IF($B$4="M",1,2))*(1-Inputs_IAS19!$C$17)^MAX(B62-Inputs_IAS19!$C$18,0)))</f>
        <v/>
      </c>
      <c r="E62">
        <f>E61*(1-D62)</f>
        <v/>
      </c>
      <c r="F62">
        <f>(E61+E62)/2</f>
        <v/>
      </c>
      <c r="G62">
        <f>IF(A62&lt;$B$6+1,0,IF(A62=$B$6+1,1,G61*(1+IF(B62=Inputs_IAS19!$C$7,Inputs_IAS19!$C$8,Inputs_IAS19!$C$6))))</f>
        <v/>
      </c>
      <c r="H62">
        <f>$B$14*G62*F62</f>
        <v/>
      </c>
      <c r="I62">
        <f>(1+Inputs_IAS19!$C$26)^-(A62-0.5)</f>
        <v/>
      </c>
      <c r="J62">
        <f>H62*I62</f>
        <v/>
      </c>
      <c r="K62">
        <f>H62*INDEX(Curve_IAS19!$D$2:$D$101,A62)</f>
        <v/>
      </c>
    </row>
    <row r="63">
      <c r="A63" t="n">
        <v>45</v>
      </c>
      <c r="B63">
        <f>Inputs_IAS19!$C$2+A63</f>
        <v/>
      </c>
      <c r="C63">
        <f>$B$5+A63-1</f>
        <v/>
      </c>
      <c r="D63">
        <f>IF(C63&gt;=120,1,MIN(1,IF(A63&lt;=$B$6,IF($B$4="M",Inputs_IAS19!$C$13,Inputs_IAS19!$C$14),IF($B$4="M",Inputs_IAS19!$C$15,Inputs_IAS19!$C$16))*INDEX(ILT!$B$2:$C$122,MIN(C63,120)+1,IF($B$4="M",1,2))*(1-Inputs_IAS19!$C$17)^MAX(B63-Inputs_IAS19!$C$18,0)))</f>
        <v/>
      </c>
      <c r="E63">
        <f>E62*(1-D63)</f>
        <v/>
      </c>
      <c r="F63">
        <f>(E62+E63)/2</f>
        <v/>
      </c>
      <c r="G63">
        <f>IF(A63&lt;$B$6+1,0,IF(A63=$B$6+1,1,G62*(1+IF(B63=Inputs_IAS19!$C$7,Inputs_IAS19!$C$8,Inputs_IAS19!$C$6))))</f>
        <v/>
      </c>
      <c r="H63">
        <f>$B$14*G63*F63</f>
        <v/>
      </c>
      <c r="I63">
        <f>(1+Inputs_IAS19!$C$26)^-(A63-0.5)</f>
        <v/>
      </c>
      <c r="J63">
        <f>H63*I63</f>
        <v/>
      </c>
      <c r="K63">
        <f>H63*INDEX(Curve_IAS19!$D$2:$D$101,A63)</f>
        <v/>
      </c>
    </row>
    <row r="64">
      <c r="A64" t="n">
        <v>46</v>
      </c>
      <c r="B64">
        <f>Inputs_IAS19!$C$2+A64</f>
        <v/>
      </c>
      <c r="C64">
        <f>$B$5+A64-1</f>
        <v/>
      </c>
      <c r="D64">
        <f>IF(C64&gt;=120,1,MIN(1,IF(A64&lt;=$B$6,IF($B$4="M",Inputs_IAS19!$C$13,Inputs_IAS19!$C$14),IF($B$4="M",Inputs_IAS19!$C$15,Inputs_IAS19!$C$16))*INDEX(ILT!$B$2:$C$122,MIN(C64,120)+1,IF($B$4="M",1,2))*(1-Inputs_IAS19!$C$17)^MAX(B64-Inputs_IAS19!$C$18,0)))</f>
        <v/>
      </c>
      <c r="E64">
        <f>E63*(1-D64)</f>
        <v/>
      </c>
      <c r="F64">
        <f>(E63+E64)/2</f>
        <v/>
      </c>
      <c r="G64">
        <f>IF(A64&lt;$B$6+1,0,IF(A64=$B$6+1,1,G63*(1+IF(B64=Inputs_IAS19!$C$7,Inputs_IAS19!$C$8,Inputs_IAS19!$C$6))))</f>
        <v/>
      </c>
      <c r="H64">
        <f>$B$14*G64*F64</f>
        <v/>
      </c>
      <c r="I64">
        <f>(1+Inputs_IAS19!$C$26)^-(A64-0.5)</f>
        <v/>
      </c>
      <c r="J64">
        <f>H64*I64</f>
        <v/>
      </c>
      <c r="K64">
        <f>H64*INDEX(Curve_IAS19!$D$2:$D$101,A64)</f>
        <v/>
      </c>
    </row>
    <row r="65">
      <c r="A65" t="n">
        <v>47</v>
      </c>
      <c r="B65">
        <f>Inputs_IAS19!$C$2+A65</f>
        <v/>
      </c>
      <c r="C65">
        <f>$B$5+A65-1</f>
        <v/>
      </c>
      <c r="D65">
        <f>IF(C65&gt;=120,1,MIN(1,IF(A65&lt;=$B$6,IF($B$4="M",Inputs_IAS19!$C$13,Inputs_IAS19!$C$14),IF($B$4="M",Inputs_IAS19!$C$15,Inputs_IAS19!$C$16))*INDEX(ILT!$B$2:$C$122,MIN(C65,120)+1,IF($B$4="M",1,2))*(1-Inputs_IAS19!$C$17)^MAX(B65-Inputs_IAS19!$C$18,0)))</f>
        <v/>
      </c>
      <c r="E65">
        <f>E64*(1-D65)</f>
        <v/>
      </c>
      <c r="F65">
        <f>(E64+E65)/2</f>
        <v/>
      </c>
      <c r="G65">
        <f>IF(A65&lt;$B$6+1,0,IF(A65=$B$6+1,1,G64*(1+IF(B65=Inputs_IAS19!$C$7,Inputs_IAS19!$C$8,Inputs_IAS19!$C$6))))</f>
        <v/>
      </c>
      <c r="H65">
        <f>$B$14*G65*F65</f>
        <v/>
      </c>
      <c r="I65">
        <f>(1+Inputs_IAS19!$C$26)^-(A65-0.5)</f>
        <v/>
      </c>
      <c r="J65">
        <f>H65*I65</f>
        <v/>
      </c>
      <c r="K65">
        <f>H65*INDEX(Curve_IAS19!$D$2:$D$101,A65)</f>
        <v/>
      </c>
    </row>
    <row r="66">
      <c r="A66" t="n">
        <v>48</v>
      </c>
      <c r="B66">
        <f>Inputs_IAS19!$C$2+A66</f>
        <v/>
      </c>
      <c r="C66">
        <f>$B$5+A66-1</f>
        <v/>
      </c>
      <c r="D66">
        <f>IF(C66&gt;=120,1,MIN(1,IF(A66&lt;=$B$6,IF($B$4="M",Inputs_IAS19!$C$13,Inputs_IAS19!$C$14),IF($B$4="M",Inputs_IAS19!$C$15,Inputs_IAS19!$C$16))*INDEX(ILT!$B$2:$C$122,MIN(C66,120)+1,IF($B$4="M",1,2))*(1-Inputs_IAS19!$C$17)^MAX(B66-Inputs_IAS19!$C$18,0)))</f>
        <v/>
      </c>
      <c r="E66">
        <f>E65*(1-D66)</f>
        <v/>
      </c>
      <c r="F66">
        <f>(E65+E66)/2</f>
        <v/>
      </c>
      <c r="G66">
        <f>IF(A66&lt;$B$6+1,0,IF(A66=$B$6+1,1,G65*(1+IF(B66=Inputs_IAS19!$C$7,Inputs_IAS19!$C$8,Inputs_IAS19!$C$6))))</f>
        <v/>
      </c>
      <c r="H66">
        <f>$B$14*G66*F66</f>
        <v/>
      </c>
      <c r="I66">
        <f>(1+Inputs_IAS19!$C$26)^-(A66-0.5)</f>
        <v/>
      </c>
      <c r="J66">
        <f>H66*I66</f>
        <v/>
      </c>
      <c r="K66">
        <f>H66*INDEX(Curve_IAS19!$D$2:$D$101,A66)</f>
        <v/>
      </c>
    </row>
    <row r="67">
      <c r="A67" t="n">
        <v>49</v>
      </c>
      <c r="B67">
        <f>Inputs_IAS19!$C$2+A67</f>
        <v/>
      </c>
      <c r="C67">
        <f>$B$5+A67-1</f>
        <v/>
      </c>
      <c r="D67">
        <f>IF(C67&gt;=120,1,MIN(1,IF(A67&lt;=$B$6,IF($B$4="M",Inputs_IAS19!$C$13,Inputs_IAS19!$C$14),IF($B$4="M",Inputs_IAS19!$C$15,Inputs_IAS19!$C$16))*INDEX(ILT!$B$2:$C$122,MIN(C67,120)+1,IF($B$4="M",1,2))*(1-Inputs_IAS19!$C$17)^MAX(B67-Inputs_IAS19!$C$18,0)))</f>
        <v/>
      </c>
      <c r="E67">
        <f>E66*(1-D67)</f>
        <v/>
      </c>
      <c r="F67">
        <f>(E66+E67)/2</f>
        <v/>
      </c>
      <c r="G67">
        <f>IF(A67&lt;$B$6+1,0,IF(A67=$B$6+1,1,G66*(1+IF(B67=Inputs_IAS19!$C$7,Inputs_IAS19!$C$8,Inputs_IAS19!$C$6))))</f>
        <v/>
      </c>
      <c r="H67">
        <f>$B$14*G67*F67</f>
        <v/>
      </c>
      <c r="I67">
        <f>(1+Inputs_IAS19!$C$26)^-(A67-0.5)</f>
        <v/>
      </c>
      <c r="J67">
        <f>H67*I67</f>
        <v/>
      </c>
      <c r="K67">
        <f>H67*INDEX(Curve_IAS19!$D$2:$D$101,A67)</f>
        <v/>
      </c>
    </row>
    <row r="68">
      <c r="A68" t="n">
        <v>50</v>
      </c>
      <c r="B68">
        <f>Inputs_IAS19!$C$2+A68</f>
        <v/>
      </c>
      <c r="C68">
        <f>$B$5+A68-1</f>
        <v/>
      </c>
      <c r="D68">
        <f>IF(C68&gt;=120,1,MIN(1,IF(A68&lt;=$B$6,IF($B$4="M",Inputs_IAS19!$C$13,Inputs_IAS19!$C$14),IF($B$4="M",Inputs_IAS19!$C$15,Inputs_IAS19!$C$16))*INDEX(ILT!$B$2:$C$122,MIN(C68,120)+1,IF($B$4="M",1,2))*(1-Inputs_IAS19!$C$17)^MAX(B68-Inputs_IAS19!$C$18,0)))</f>
        <v/>
      </c>
      <c r="E68">
        <f>E67*(1-D68)</f>
        <v/>
      </c>
      <c r="F68">
        <f>(E67+E68)/2</f>
        <v/>
      </c>
      <c r="G68">
        <f>IF(A68&lt;$B$6+1,0,IF(A68=$B$6+1,1,G67*(1+IF(B68=Inputs_IAS19!$C$7,Inputs_IAS19!$C$8,Inputs_IAS19!$C$6))))</f>
        <v/>
      </c>
      <c r="H68">
        <f>$B$14*G68*F68</f>
        <v/>
      </c>
      <c r="I68">
        <f>(1+Inputs_IAS19!$C$26)^-(A68-0.5)</f>
        <v/>
      </c>
      <c r="J68">
        <f>H68*I68</f>
        <v/>
      </c>
      <c r="K68">
        <f>H68*INDEX(Curve_IAS19!$D$2:$D$101,A68)</f>
        <v/>
      </c>
    </row>
    <row r="69">
      <c r="A69" t="n">
        <v>51</v>
      </c>
      <c r="B69">
        <f>Inputs_IAS19!$C$2+A69</f>
        <v/>
      </c>
      <c r="C69">
        <f>$B$5+A69-1</f>
        <v/>
      </c>
      <c r="D69">
        <f>IF(C69&gt;=120,1,MIN(1,IF(A69&lt;=$B$6,IF($B$4="M",Inputs_IAS19!$C$13,Inputs_IAS19!$C$14),IF($B$4="M",Inputs_IAS19!$C$15,Inputs_IAS19!$C$16))*INDEX(ILT!$B$2:$C$122,MIN(C69,120)+1,IF($B$4="M",1,2))*(1-Inputs_IAS19!$C$17)^MAX(B69-Inputs_IAS19!$C$18,0)))</f>
        <v/>
      </c>
      <c r="E69">
        <f>E68*(1-D69)</f>
        <v/>
      </c>
      <c r="F69">
        <f>(E68+E69)/2</f>
        <v/>
      </c>
      <c r="G69">
        <f>IF(A69&lt;$B$6+1,0,IF(A69=$B$6+1,1,G68*(1+IF(B69=Inputs_IAS19!$C$7,Inputs_IAS19!$C$8,Inputs_IAS19!$C$6))))</f>
        <v/>
      </c>
      <c r="H69">
        <f>$B$14*G69*F69</f>
        <v/>
      </c>
      <c r="I69">
        <f>(1+Inputs_IAS19!$C$26)^-(A69-0.5)</f>
        <v/>
      </c>
      <c r="J69">
        <f>H69*I69</f>
        <v/>
      </c>
      <c r="K69">
        <f>H69*INDEX(Curve_IAS19!$D$2:$D$101,A69)</f>
        <v/>
      </c>
    </row>
    <row r="70">
      <c r="A70" t="n">
        <v>52</v>
      </c>
      <c r="B70">
        <f>Inputs_IAS19!$C$2+A70</f>
        <v/>
      </c>
      <c r="C70">
        <f>$B$5+A70-1</f>
        <v/>
      </c>
      <c r="D70">
        <f>IF(C70&gt;=120,1,MIN(1,IF(A70&lt;=$B$6,IF($B$4="M",Inputs_IAS19!$C$13,Inputs_IAS19!$C$14),IF($B$4="M",Inputs_IAS19!$C$15,Inputs_IAS19!$C$16))*INDEX(ILT!$B$2:$C$122,MIN(C70,120)+1,IF($B$4="M",1,2))*(1-Inputs_IAS19!$C$17)^MAX(B70-Inputs_IAS19!$C$18,0)))</f>
        <v/>
      </c>
      <c r="E70">
        <f>E69*(1-D70)</f>
        <v/>
      </c>
      <c r="F70">
        <f>(E69+E70)/2</f>
        <v/>
      </c>
      <c r="G70">
        <f>IF(A70&lt;$B$6+1,0,IF(A70=$B$6+1,1,G69*(1+IF(B70=Inputs_IAS19!$C$7,Inputs_IAS19!$C$8,Inputs_IAS19!$C$6))))</f>
        <v/>
      </c>
      <c r="H70">
        <f>$B$14*G70*F70</f>
        <v/>
      </c>
      <c r="I70">
        <f>(1+Inputs_IAS19!$C$26)^-(A70-0.5)</f>
        <v/>
      </c>
      <c r="J70">
        <f>H70*I70</f>
        <v/>
      </c>
      <c r="K70">
        <f>H70*INDEX(Curve_IAS19!$D$2:$D$101,A70)</f>
        <v/>
      </c>
    </row>
    <row r="71">
      <c r="A71" t="n">
        <v>53</v>
      </c>
      <c r="B71">
        <f>Inputs_IAS19!$C$2+A71</f>
        <v/>
      </c>
      <c r="C71">
        <f>$B$5+A71-1</f>
        <v/>
      </c>
      <c r="D71">
        <f>IF(C71&gt;=120,1,MIN(1,IF(A71&lt;=$B$6,IF($B$4="M",Inputs_IAS19!$C$13,Inputs_IAS19!$C$14),IF($B$4="M",Inputs_IAS19!$C$15,Inputs_IAS19!$C$16))*INDEX(ILT!$B$2:$C$122,MIN(C71,120)+1,IF($B$4="M",1,2))*(1-Inputs_IAS19!$C$17)^MAX(B71-Inputs_IAS19!$C$18,0)))</f>
        <v/>
      </c>
      <c r="E71">
        <f>E70*(1-D71)</f>
        <v/>
      </c>
      <c r="F71">
        <f>(E70+E71)/2</f>
        <v/>
      </c>
      <c r="G71">
        <f>IF(A71&lt;$B$6+1,0,IF(A71=$B$6+1,1,G70*(1+IF(B71=Inputs_IAS19!$C$7,Inputs_IAS19!$C$8,Inputs_IAS19!$C$6))))</f>
        <v/>
      </c>
      <c r="H71">
        <f>$B$14*G71*F71</f>
        <v/>
      </c>
      <c r="I71">
        <f>(1+Inputs_IAS19!$C$26)^-(A71-0.5)</f>
        <v/>
      </c>
      <c r="J71">
        <f>H71*I71</f>
        <v/>
      </c>
      <c r="K71">
        <f>H71*INDEX(Curve_IAS19!$D$2:$D$101,A71)</f>
        <v/>
      </c>
    </row>
    <row r="72">
      <c r="A72" t="n">
        <v>54</v>
      </c>
      <c r="B72">
        <f>Inputs_IAS19!$C$2+A72</f>
        <v/>
      </c>
      <c r="C72">
        <f>$B$5+A72-1</f>
        <v/>
      </c>
      <c r="D72">
        <f>IF(C72&gt;=120,1,MIN(1,IF(A72&lt;=$B$6,IF($B$4="M",Inputs_IAS19!$C$13,Inputs_IAS19!$C$14),IF($B$4="M",Inputs_IAS19!$C$15,Inputs_IAS19!$C$16))*INDEX(ILT!$B$2:$C$122,MIN(C72,120)+1,IF($B$4="M",1,2))*(1-Inputs_IAS19!$C$17)^MAX(B72-Inputs_IAS19!$C$18,0)))</f>
        <v/>
      </c>
      <c r="E72">
        <f>E71*(1-D72)</f>
        <v/>
      </c>
      <c r="F72">
        <f>(E71+E72)/2</f>
        <v/>
      </c>
      <c r="G72">
        <f>IF(A72&lt;$B$6+1,0,IF(A72=$B$6+1,1,G71*(1+IF(B72=Inputs_IAS19!$C$7,Inputs_IAS19!$C$8,Inputs_IAS19!$C$6))))</f>
        <v/>
      </c>
      <c r="H72">
        <f>$B$14*G72*F72</f>
        <v/>
      </c>
      <c r="I72">
        <f>(1+Inputs_IAS19!$C$26)^-(A72-0.5)</f>
        <v/>
      </c>
      <c r="J72">
        <f>H72*I72</f>
        <v/>
      </c>
      <c r="K72">
        <f>H72*INDEX(Curve_IAS19!$D$2:$D$101,A72)</f>
        <v/>
      </c>
    </row>
    <row r="73">
      <c r="A73" t="n">
        <v>55</v>
      </c>
      <c r="B73">
        <f>Inputs_IAS19!$C$2+A73</f>
        <v/>
      </c>
      <c r="C73">
        <f>$B$5+A73-1</f>
        <v/>
      </c>
      <c r="D73">
        <f>IF(C73&gt;=120,1,MIN(1,IF(A73&lt;=$B$6,IF($B$4="M",Inputs_IAS19!$C$13,Inputs_IAS19!$C$14),IF($B$4="M",Inputs_IAS19!$C$15,Inputs_IAS19!$C$16))*INDEX(ILT!$B$2:$C$122,MIN(C73,120)+1,IF($B$4="M",1,2))*(1-Inputs_IAS19!$C$17)^MAX(B73-Inputs_IAS19!$C$18,0)))</f>
        <v/>
      </c>
      <c r="E73">
        <f>E72*(1-D73)</f>
        <v/>
      </c>
      <c r="F73">
        <f>(E72+E73)/2</f>
        <v/>
      </c>
      <c r="G73">
        <f>IF(A73&lt;$B$6+1,0,IF(A73=$B$6+1,1,G72*(1+IF(B73=Inputs_IAS19!$C$7,Inputs_IAS19!$C$8,Inputs_IAS19!$C$6))))</f>
        <v/>
      </c>
      <c r="H73">
        <f>$B$14*G73*F73</f>
        <v/>
      </c>
      <c r="I73">
        <f>(1+Inputs_IAS19!$C$26)^-(A73-0.5)</f>
        <v/>
      </c>
      <c r="J73">
        <f>H73*I73</f>
        <v/>
      </c>
      <c r="K73">
        <f>H73*INDEX(Curve_IAS19!$D$2:$D$101,A73)</f>
        <v/>
      </c>
    </row>
    <row r="74">
      <c r="A74" t="n">
        <v>56</v>
      </c>
      <c r="B74">
        <f>Inputs_IAS19!$C$2+A74</f>
        <v/>
      </c>
      <c r="C74">
        <f>$B$5+A74-1</f>
        <v/>
      </c>
      <c r="D74">
        <f>IF(C74&gt;=120,1,MIN(1,IF(A74&lt;=$B$6,IF($B$4="M",Inputs_IAS19!$C$13,Inputs_IAS19!$C$14),IF($B$4="M",Inputs_IAS19!$C$15,Inputs_IAS19!$C$16))*INDEX(ILT!$B$2:$C$122,MIN(C74,120)+1,IF($B$4="M",1,2))*(1-Inputs_IAS19!$C$17)^MAX(B74-Inputs_IAS19!$C$18,0)))</f>
        <v/>
      </c>
      <c r="E74">
        <f>E73*(1-D74)</f>
        <v/>
      </c>
      <c r="F74">
        <f>(E73+E74)/2</f>
        <v/>
      </c>
      <c r="G74">
        <f>IF(A74&lt;$B$6+1,0,IF(A74=$B$6+1,1,G73*(1+IF(B74=Inputs_IAS19!$C$7,Inputs_IAS19!$C$8,Inputs_IAS19!$C$6))))</f>
        <v/>
      </c>
      <c r="H74">
        <f>$B$14*G74*F74</f>
        <v/>
      </c>
      <c r="I74">
        <f>(1+Inputs_IAS19!$C$26)^-(A74-0.5)</f>
        <v/>
      </c>
      <c r="J74">
        <f>H74*I74</f>
        <v/>
      </c>
      <c r="K74">
        <f>H74*INDEX(Curve_IAS19!$D$2:$D$101,A74)</f>
        <v/>
      </c>
    </row>
    <row r="75">
      <c r="A75" t="n">
        <v>57</v>
      </c>
      <c r="B75">
        <f>Inputs_IAS19!$C$2+A75</f>
        <v/>
      </c>
      <c r="C75">
        <f>$B$5+A75-1</f>
        <v/>
      </c>
      <c r="D75">
        <f>IF(C75&gt;=120,1,MIN(1,IF(A75&lt;=$B$6,IF($B$4="M",Inputs_IAS19!$C$13,Inputs_IAS19!$C$14),IF($B$4="M",Inputs_IAS19!$C$15,Inputs_IAS19!$C$16))*INDEX(ILT!$B$2:$C$122,MIN(C75,120)+1,IF($B$4="M",1,2))*(1-Inputs_IAS19!$C$17)^MAX(B75-Inputs_IAS19!$C$18,0)))</f>
        <v/>
      </c>
      <c r="E75">
        <f>E74*(1-D75)</f>
        <v/>
      </c>
      <c r="F75">
        <f>(E74+E75)/2</f>
        <v/>
      </c>
      <c r="G75">
        <f>IF(A75&lt;$B$6+1,0,IF(A75=$B$6+1,1,G74*(1+IF(B75=Inputs_IAS19!$C$7,Inputs_IAS19!$C$8,Inputs_IAS19!$C$6))))</f>
        <v/>
      </c>
      <c r="H75">
        <f>$B$14*G75*F75</f>
        <v/>
      </c>
      <c r="I75">
        <f>(1+Inputs_IAS19!$C$26)^-(A75-0.5)</f>
        <v/>
      </c>
      <c r="J75">
        <f>H75*I75</f>
        <v/>
      </c>
      <c r="K75">
        <f>H75*INDEX(Curve_IAS19!$D$2:$D$101,A75)</f>
        <v/>
      </c>
    </row>
    <row r="76">
      <c r="A76" t="n">
        <v>58</v>
      </c>
      <c r="B76">
        <f>Inputs_IAS19!$C$2+A76</f>
        <v/>
      </c>
      <c r="C76">
        <f>$B$5+A76-1</f>
        <v/>
      </c>
      <c r="D76">
        <f>IF(C76&gt;=120,1,MIN(1,IF(A76&lt;=$B$6,IF($B$4="M",Inputs_IAS19!$C$13,Inputs_IAS19!$C$14),IF($B$4="M",Inputs_IAS19!$C$15,Inputs_IAS19!$C$16))*INDEX(ILT!$B$2:$C$122,MIN(C76,120)+1,IF($B$4="M",1,2))*(1-Inputs_IAS19!$C$17)^MAX(B76-Inputs_IAS19!$C$18,0)))</f>
        <v/>
      </c>
      <c r="E76">
        <f>E75*(1-D76)</f>
        <v/>
      </c>
      <c r="F76">
        <f>(E75+E76)/2</f>
        <v/>
      </c>
      <c r="G76">
        <f>IF(A76&lt;$B$6+1,0,IF(A76=$B$6+1,1,G75*(1+IF(B76=Inputs_IAS19!$C$7,Inputs_IAS19!$C$8,Inputs_IAS19!$C$6))))</f>
        <v/>
      </c>
      <c r="H76">
        <f>$B$14*G76*F76</f>
        <v/>
      </c>
      <c r="I76">
        <f>(1+Inputs_IAS19!$C$26)^-(A76-0.5)</f>
        <v/>
      </c>
      <c r="J76">
        <f>H76*I76</f>
        <v/>
      </c>
      <c r="K76">
        <f>H76*INDEX(Curve_IAS19!$D$2:$D$101,A76)</f>
        <v/>
      </c>
    </row>
    <row r="77">
      <c r="A77" t="n">
        <v>59</v>
      </c>
      <c r="B77">
        <f>Inputs_IAS19!$C$2+A77</f>
        <v/>
      </c>
      <c r="C77">
        <f>$B$5+A77-1</f>
        <v/>
      </c>
      <c r="D77">
        <f>IF(C77&gt;=120,1,MIN(1,IF(A77&lt;=$B$6,IF($B$4="M",Inputs_IAS19!$C$13,Inputs_IAS19!$C$14),IF($B$4="M",Inputs_IAS19!$C$15,Inputs_IAS19!$C$16))*INDEX(ILT!$B$2:$C$122,MIN(C77,120)+1,IF($B$4="M",1,2))*(1-Inputs_IAS19!$C$17)^MAX(B77-Inputs_IAS19!$C$18,0)))</f>
        <v/>
      </c>
      <c r="E77">
        <f>E76*(1-D77)</f>
        <v/>
      </c>
      <c r="F77">
        <f>(E76+E77)/2</f>
        <v/>
      </c>
      <c r="G77">
        <f>IF(A77&lt;$B$6+1,0,IF(A77=$B$6+1,1,G76*(1+IF(B77=Inputs_IAS19!$C$7,Inputs_IAS19!$C$8,Inputs_IAS19!$C$6))))</f>
        <v/>
      </c>
      <c r="H77">
        <f>$B$14*G77*F77</f>
        <v/>
      </c>
      <c r="I77">
        <f>(1+Inputs_IAS19!$C$26)^-(A77-0.5)</f>
        <v/>
      </c>
      <c r="J77">
        <f>H77*I77</f>
        <v/>
      </c>
      <c r="K77">
        <f>H77*INDEX(Curve_IAS19!$D$2:$D$101,A77)</f>
        <v/>
      </c>
    </row>
    <row r="78">
      <c r="A78" t="n">
        <v>60</v>
      </c>
      <c r="B78">
        <f>Inputs_IAS19!$C$2+A78</f>
        <v/>
      </c>
      <c r="C78">
        <f>$B$5+A78-1</f>
        <v/>
      </c>
      <c r="D78">
        <f>IF(C78&gt;=120,1,MIN(1,IF(A78&lt;=$B$6,IF($B$4="M",Inputs_IAS19!$C$13,Inputs_IAS19!$C$14),IF($B$4="M",Inputs_IAS19!$C$15,Inputs_IAS19!$C$16))*INDEX(ILT!$B$2:$C$122,MIN(C78,120)+1,IF($B$4="M",1,2))*(1-Inputs_IAS19!$C$17)^MAX(B78-Inputs_IAS19!$C$18,0)))</f>
        <v/>
      </c>
      <c r="E78">
        <f>E77*(1-D78)</f>
        <v/>
      </c>
      <c r="F78">
        <f>(E77+E78)/2</f>
        <v/>
      </c>
      <c r="G78">
        <f>IF(A78&lt;$B$6+1,0,IF(A78=$B$6+1,1,G77*(1+IF(B78=Inputs_IAS19!$C$7,Inputs_IAS19!$C$8,Inputs_IAS19!$C$6))))</f>
        <v/>
      </c>
      <c r="H78">
        <f>$B$14*G78*F78</f>
        <v/>
      </c>
      <c r="I78">
        <f>(1+Inputs_IAS19!$C$26)^-(A78-0.5)</f>
        <v/>
      </c>
      <c r="J78">
        <f>H78*I78</f>
        <v/>
      </c>
      <c r="K78">
        <f>H78*INDEX(Curve_IAS19!$D$2:$D$101,A78)</f>
        <v/>
      </c>
    </row>
    <row r="79">
      <c r="A79" t="n">
        <v>61</v>
      </c>
      <c r="B79">
        <f>Inputs_IAS19!$C$2+A79</f>
        <v/>
      </c>
      <c r="C79">
        <f>$B$5+A79-1</f>
        <v/>
      </c>
      <c r="D79">
        <f>IF(C79&gt;=120,1,MIN(1,IF(A79&lt;=$B$6,IF($B$4="M",Inputs_IAS19!$C$13,Inputs_IAS19!$C$14),IF($B$4="M",Inputs_IAS19!$C$15,Inputs_IAS19!$C$16))*INDEX(ILT!$B$2:$C$122,MIN(C79,120)+1,IF($B$4="M",1,2))*(1-Inputs_IAS19!$C$17)^MAX(B79-Inputs_IAS19!$C$18,0)))</f>
        <v/>
      </c>
      <c r="E79">
        <f>E78*(1-D79)</f>
        <v/>
      </c>
      <c r="F79">
        <f>(E78+E79)/2</f>
        <v/>
      </c>
      <c r="G79">
        <f>IF(A79&lt;$B$6+1,0,IF(A79=$B$6+1,1,G78*(1+IF(B79=Inputs_IAS19!$C$7,Inputs_IAS19!$C$8,Inputs_IAS19!$C$6))))</f>
        <v/>
      </c>
      <c r="H79">
        <f>$B$14*G79*F79</f>
        <v/>
      </c>
      <c r="I79">
        <f>(1+Inputs_IAS19!$C$26)^-(A79-0.5)</f>
        <v/>
      </c>
      <c r="J79">
        <f>H79*I79</f>
        <v/>
      </c>
      <c r="K79">
        <f>H79*INDEX(Curve_IAS19!$D$2:$D$101,A79)</f>
        <v/>
      </c>
    </row>
    <row r="80">
      <c r="A80" t="n">
        <v>62</v>
      </c>
      <c r="B80">
        <f>Inputs_IAS19!$C$2+A80</f>
        <v/>
      </c>
      <c r="C80">
        <f>$B$5+A80-1</f>
        <v/>
      </c>
      <c r="D80">
        <f>IF(C80&gt;=120,1,MIN(1,IF(A80&lt;=$B$6,IF($B$4="M",Inputs_IAS19!$C$13,Inputs_IAS19!$C$14),IF($B$4="M",Inputs_IAS19!$C$15,Inputs_IAS19!$C$16))*INDEX(ILT!$B$2:$C$122,MIN(C80,120)+1,IF($B$4="M",1,2))*(1-Inputs_IAS19!$C$17)^MAX(B80-Inputs_IAS19!$C$18,0)))</f>
        <v/>
      </c>
      <c r="E80">
        <f>E79*(1-D80)</f>
        <v/>
      </c>
      <c r="F80">
        <f>(E79+E80)/2</f>
        <v/>
      </c>
      <c r="G80">
        <f>IF(A80&lt;$B$6+1,0,IF(A80=$B$6+1,1,G79*(1+IF(B80=Inputs_IAS19!$C$7,Inputs_IAS19!$C$8,Inputs_IAS19!$C$6))))</f>
        <v/>
      </c>
      <c r="H80">
        <f>$B$14*G80*F80</f>
        <v/>
      </c>
      <c r="I80">
        <f>(1+Inputs_IAS19!$C$26)^-(A80-0.5)</f>
        <v/>
      </c>
      <c r="J80">
        <f>H80*I80</f>
        <v/>
      </c>
      <c r="K80">
        <f>H80*INDEX(Curve_IAS19!$D$2:$D$101,A80)</f>
        <v/>
      </c>
    </row>
    <row r="81">
      <c r="A81" t="n">
        <v>63</v>
      </c>
      <c r="B81">
        <f>Inputs_IAS19!$C$2+A81</f>
        <v/>
      </c>
      <c r="C81">
        <f>$B$5+A81-1</f>
        <v/>
      </c>
      <c r="D81">
        <f>IF(C81&gt;=120,1,MIN(1,IF(A81&lt;=$B$6,IF($B$4="M",Inputs_IAS19!$C$13,Inputs_IAS19!$C$14),IF($B$4="M",Inputs_IAS19!$C$15,Inputs_IAS19!$C$16))*INDEX(ILT!$B$2:$C$122,MIN(C81,120)+1,IF($B$4="M",1,2))*(1-Inputs_IAS19!$C$17)^MAX(B81-Inputs_IAS19!$C$18,0)))</f>
        <v/>
      </c>
      <c r="E81">
        <f>E80*(1-D81)</f>
        <v/>
      </c>
      <c r="F81">
        <f>(E80+E81)/2</f>
        <v/>
      </c>
      <c r="G81">
        <f>IF(A81&lt;$B$6+1,0,IF(A81=$B$6+1,1,G80*(1+IF(B81=Inputs_IAS19!$C$7,Inputs_IAS19!$C$8,Inputs_IAS19!$C$6))))</f>
        <v/>
      </c>
      <c r="H81">
        <f>$B$14*G81*F81</f>
        <v/>
      </c>
      <c r="I81">
        <f>(1+Inputs_IAS19!$C$26)^-(A81-0.5)</f>
        <v/>
      </c>
      <c r="J81">
        <f>H81*I81</f>
        <v/>
      </c>
      <c r="K81">
        <f>H81*INDEX(Curve_IAS19!$D$2:$D$101,A81)</f>
        <v/>
      </c>
    </row>
    <row r="82">
      <c r="A82" t="n">
        <v>64</v>
      </c>
      <c r="B82">
        <f>Inputs_IAS19!$C$2+A82</f>
        <v/>
      </c>
      <c r="C82">
        <f>$B$5+A82-1</f>
        <v/>
      </c>
      <c r="D82">
        <f>IF(C82&gt;=120,1,MIN(1,IF(A82&lt;=$B$6,IF($B$4="M",Inputs_IAS19!$C$13,Inputs_IAS19!$C$14),IF($B$4="M",Inputs_IAS19!$C$15,Inputs_IAS19!$C$16))*INDEX(ILT!$B$2:$C$122,MIN(C82,120)+1,IF($B$4="M",1,2))*(1-Inputs_IAS19!$C$17)^MAX(B82-Inputs_IAS19!$C$18,0)))</f>
        <v/>
      </c>
      <c r="E82">
        <f>E81*(1-D82)</f>
        <v/>
      </c>
      <c r="F82">
        <f>(E81+E82)/2</f>
        <v/>
      </c>
      <c r="G82">
        <f>IF(A82&lt;$B$6+1,0,IF(A82=$B$6+1,1,G81*(1+IF(B82=Inputs_IAS19!$C$7,Inputs_IAS19!$C$8,Inputs_IAS19!$C$6))))</f>
        <v/>
      </c>
      <c r="H82">
        <f>$B$14*G82*F82</f>
        <v/>
      </c>
      <c r="I82">
        <f>(1+Inputs_IAS19!$C$26)^-(A82-0.5)</f>
        <v/>
      </c>
      <c r="J82">
        <f>H82*I82</f>
        <v/>
      </c>
      <c r="K82">
        <f>H82*INDEX(Curve_IAS19!$D$2:$D$101,A82)</f>
        <v/>
      </c>
    </row>
    <row r="83">
      <c r="A83" t="n">
        <v>65</v>
      </c>
      <c r="B83">
        <f>Inputs_IAS19!$C$2+A83</f>
        <v/>
      </c>
      <c r="C83">
        <f>$B$5+A83-1</f>
        <v/>
      </c>
      <c r="D83">
        <f>IF(C83&gt;=120,1,MIN(1,IF(A83&lt;=$B$6,IF($B$4="M",Inputs_IAS19!$C$13,Inputs_IAS19!$C$14),IF($B$4="M",Inputs_IAS19!$C$15,Inputs_IAS19!$C$16))*INDEX(ILT!$B$2:$C$122,MIN(C83,120)+1,IF($B$4="M",1,2))*(1-Inputs_IAS19!$C$17)^MAX(B83-Inputs_IAS19!$C$18,0)))</f>
        <v/>
      </c>
      <c r="E83">
        <f>E82*(1-D83)</f>
        <v/>
      </c>
      <c r="F83">
        <f>(E82+E83)/2</f>
        <v/>
      </c>
      <c r="G83">
        <f>IF(A83&lt;$B$6+1,0,IF(A83=$B$6+1,1,G82*(1+IF(B83=Inputs_IAS19!$C$7,Inputs_IAS19!$C$8,Inputs_IAS19!$C$6))))</f>
        <v/>
      </c>
      <c r="H83">
        <f>$B$14*G83*F83</f>
        <v/>
      </c>
      <c r="I83">
        <f>(1+Inputs_IAS19!$C$26)^-(A83-0.5)</f>
        <v/>
      </c>
      <c r="J83">
        <f>H83*I83</f>
        <v/>
      </c>
      <c r="K83">
        <f>H83*INDEX(Curve_IAS19!$D$2:$D$101,A83)</f>
        <v/>
      </c>
    </row>
    <row r="84">
      <c r="A84" t="n">
        <v>66</v>
      </c>
      <c r="B84">
        <f>Inputs_IAS19!$C$2+A84</f>
        <v/>
      </c>
      <c r="C84">
        <f>$B$5+A84-1</f>
        <v/>
      </c>
      <c r="D84">
        <f>IF(C84&gt;=120,1,MIN(1,IF(A84&lt;=$B$6,IF($B$4="M",Inputs_IAS19!$C$13,Inputs_IAS19!$C$14),IF($B$4="M",Inputs_IAS19!$C$15,Inputs_IAS19!$C$16))*INDEX(ILT!$B$2:$C$122,MIN(C84,120)+1,IF($B$4="M",1,2))*(1-Inputs_IAS19!$C$17)^MAX(B84-Inputs_IAS19!$C$18,0)))</f>
        <v/>
      </c>
      <c r="E84">
        <f>E83*(1-D84)</f>
        <v/>
      </c>
      <c r="F84">
        <f>(E83+E84)/2</f>
        <v/>
      </c>
      <c r="G84">
        <f>IF(A84&lt;$B$6+1,0,IF(A84=$B$6+1,1,G83*(1+IF(B84=Inputs_IAS19!$C$7,Inputs_IAS19!$C$8,Inputs_IAS19!$C$6))))</f>
        <v/>
      </c>
      <c r="H84">
        <f>$B$14*G84*F84</f>
        <v/>
      </c>
      <c r="I84">
        <f>(1+Inputs_IAS19!$C$26)^-(A84-0.5)</f>
        <v/>
      </c>
      <c r="J84">
        <f>H84*I84</f>
        <v/>
      </c>
      <c r="K84">
        <f>H84*INDEX(Curve_IAS19!$D$2:$D$101,A84)</f>
        <v/>
      </c>
    </row>
    <row r="85">
      <c r="A85" t="n">
        <v>67</v>
      </c>
      <c r="B85">
        <f>Inputs_IAS19!$C$2+A85</f>
        <v/>
      </c>
      <c r="C85">
        <f>$B$5+A85-1</f>
        <v/>
      </c>
      <c r="D85">
        <f>IF(C85&gt;=120,1,MIN(1,IF(A85&lt;=$B$6,IF($B$4="M",Inputs_IAS19!$C$13,Inputs_IAS19!$C$14),IF($B$4="M",Inputs_IAS19!$C$15,Inputs_IAS19!$C$16))*INDEX(ILT!$B$2:$C$122,MIN(C85,120)+1,IF($B$4="M",1,2))*(1-Inputs_IAS19!$C$17)^MAX(B85-Inputs_IAS19!$C$18,0)))</f>
        <v/>
      </c>
      <c r="E85">
        <f>E84*(1-D85)</f>
        <v/>
      </c>
      <c r="F85">
        <f>(E84+E85)/2</f>
        <v/>
      </c>
      <c r="G85">
        <f>IF(A85&lt;$B$6+1,0,IF(A85=$B$6+1,1,G84*(1+IF(B85=Inputs_IAS19!$C$7,Inputs_IAS19!$C$8,Inputs_IAS19!$C$6))))</f>
        <v/>
      </c>
      <c r="H85">
        <f>$B$14*G85*F85</f>
        <v/>
      </c>
      <c r="I85">
        <f>(1+Inputs_IAS19!$C$26)^-(A85-0.5)</f>
        <v/>
      </c>
      <c r="J85">
        <f>H85*I85</f>
        <v/>
      </c>
      <c r="K85">
        <f>H85*INDEX(Curve_IAS19!$D$2:$D$101,A85)</f>
        <v/>
      </c>
    </row>
    <row r="86">
      <c r="A86" t="n">
        <v>68</v>
      </c>
      <c r="B86">
        <f>Inputs_IAS19!$C$2+A86</f>
        <v/>
      </c>
      <c r="C86">
        <f>$B$5+A86-1</f>
        <v/>
      </c>
      <c r="D86">
        <f>IF(C86&gt;=120,1,MIN(1,IF(A86&lt;=$B$6,IF($B$4="M",Inputs_IAS19!$C$13,Inputs_IAS19!$C$14),IF($B$4="M",Inputs_IAS19!$C$15,Inputs_IAS19!$C$16))*INDEX(ILT!$B$2:$C$122,MIN(C86,120)+1,IF($B$4="M",1,2))*(1-Inputs_IAS19!$C$17)^MAX(B86-Inputs_IAS19!$C$18,0)))</f>
        <v/>
      </c>
      <c r="E86">
        <f>E85*(1-D86)</f>
        <v/>
      </c>
      <c r="F86">
        <f>(E85+E86)/2</f>
        <v/>
      </c>
      <c r="G86">
        <f>IF(A86&lt;$B$6+1,0,IF(A86=$B$6+1,1,G85*(1+IF(B86=Inputs_IAS19!$C$7,Inputs_IAS19!$C$8,Inputs_IAS19!$C$6))))</f>
        <v/>
      </c>
      <c r="H86">
        <f>$B$14*G86*F86</f>
        <v/>
      </c>
      <c r="I86">
        <f>(1+Inputs_IAS19!$C$26)^-(A86-0.5)</f>
        <v/>
      </c>
      <c r="J86">
        <f>H86*I86</f>
        <v/>
      </c>
      <c r="K86">
        <f>H86*INDEX(Curve_IAS19!$D$2:$D$101,A86)</f>
        <v/>
      </c>
    </row>
    <row r="87">
      <c r="A87" t="n">
        <v>69</v>
      </c>
      <c r="B87">
        <f>Inputs_IAS19!$C$2+A87</f>
        <v/>
      </c>
      <c r="C87">
        <f>$B$5+A87-1</f>
        <v/>
      </c>
      <c r="D87">
        <f>IF(C87&gt;=120,1,MIN(1,IF(A87&lt;=$B$6,IF($B$4="M",Inputs_IAS19!$C$13,Inputs_IAS19!$C$14),IF($B$4="M",Inputs_IAS19!$C$15,Inputs_IAS19!$C$16))*INDEX(ILT!$B$2:$C$122,MIN(C87,120)+1,IF($B$4="M",1,2))*(1-Inputs_IAS19!$C$17)^MAX(B87-Inputs_IAS19!$C$18,0)))</f>
        <v/>
      </c>
      <c r="E87">
        <f>E86*(1-D87)</f>
        <v/>
      </c>
      <c r="F87">
        <f>(E86+E87)/2</f>
        <v/>
      </c>
      <c r="G87">
        <f>IF(A87&lt;$B$6+1,0,IF(A87=$B$6+1,1,G86*(1+IF(B87=Inputs_IAS19!$C$7,Inputs_IAS19!$C$8,Inputs_IAS19!$C$6))))</f>
        <v/>
      </c>
      <c r="H87">
        <f>$B$14*G87*F87</f>
        <v/>
      </c>
      <c r="I87">
        <f>(1+Inputs_IAS19!$C$26)^-(A87-0.5)</f>
        <v/>
      </c>
      <c r="J87">
        <f>H87*I87</f>
        <v/>
      </c>
      <c r="K87">
        <f>H87*INDEX(Curve_IAS19!$D$2:$D$101,A87)</f>
        <v/>
      </c>
    </row>
    <row r="88">
      <c r="A88" t="n">
        <v>70</v>
      </c>
      <c r="B88">
        <f>Inputs_IAS19!$C$2+A88</f>
        <v/>
      </c>
      <c r="C88">
        <f>$B$5+A88-1</f>
        <v/>
      </c>
      <c r="D88">
        <f>IF(C88&gt;=120,1,MIN(1,IF(A88&lt;=$B$6,IF($B$4="M",Inputs_IAS19!$C$13,Inputs_IAS19!$C$14),IF($B$4="M",Inputs_IAS19!$C$15,Inputs_IAS19!$C$16))*INDEX(ILT!$B$2:$C$122,MIN(C88,120)+1,IF($B$4="M",1,2))*(1-Inputs_IAS19!$C$17)^MAX(B88-Inputs_IAS19!$C$18,0)))</f>
        <v/>
      </c>
      <c r="E88">
        <f>E87*(1-D88)</f>
        <v/>
      </c>
      <c r="F88">
        <f>(E87+E88)/2</f>
        <v/>
      </c>
      <c r="G88">
        <f>IF(A88&lt;$B$6+1,0,IF(A88=$B$6+1,1,G87*(1+IF(B88=Inputs_IAS19!$C$7,Inputs_IAS19!$C$8,Inputs_IAS19!$C$6))))</f>
        <v/>
      </c>
      <c r="H88">
        <f>$B$14*G88*F88</f>
        <v/>
      </c>
      <c r="I88">
        <f>(1+Inputs_IAS19!$C$26)^-(A88-0.5)</f>
        <v/>
      </c>
      <c r="J88">
        <f>H88*I88</f>
        <v/>
      </c>
      <c r="K88">
        <f>H88*INDEX(Curve_IAS19!$D$2:$D$101,A88)</f>
        <v/>
      </c>
    </row>
    <row r="89">
      <c r="A89" t="n">
        <v>71</v>
      </c>
      <c r="B89">
        <f>Inputs_IAS19!$C$2+A89</f>
        <v/>
      </c>
      <c r="C89">
        <f>$B$5+A89-1</f>
        <v/>
      </c>
      <c r="D89">
        <f>IF(C89&gt;=120,1,MIN(1,IF(A89&lt;=$B$6,IF($B$4="M",Inputs_IAS19!$C$13,Inputs_IAS19!$C$14),IF($B$4="M",Inputs_IAS19!$C$15,Inputs_IAS19!$C$16))*INDEX(ILT!$B$2:$C$122,MIN(C89,120)+1,IF($B$4="M",1,2))*(1-Inputs_IAS19!$C$17)^MAX(B89-Inputs_IAS19!$C$18,0)))</f>
        <v/>
      </c>
      <c r="E89">
        <f>E88*(1-D89)</f>
        <v/>
      </c>
      <c r="F89">
        <f>(E88+E89)/2</f>
        <v/>
      </c>
      <c r="G89">
        <f>IF(A89&lt;$B$6+1,0,IF(A89=$B$6+1,1,G88*(1+IF(B89=Inputs_IAS19!$C$7,Inputs_IAS19!$C$8,Inputs_IAS19!$C$6))))</f>
        <v/>
      </c>
      <c r="H89">
        <f>$B$14*G89*F89</f>
        <v/>
      </c>
      <c r="I89">
        <f>(1+Inputs_IAS19!$C$26)^-(A89-0.5)</f>
        <v/>
      </c>
      <c r="J89">
        <f>H89*I89</f>
        <v/>
      </c>
      <c r="K89">
        <f>H89*INDEX(Curve_IAS19!$D$2:$D$101,A89)</f>
        <v/>
      </c>
    </row>
    <row r="90">
      <c r="A90" t="n">
        <v>72</v>
      </c>
      <c r="B90">
        <f>Inputs_IAS19!$C$2+A90</f>
        <v/>
      </c>
      <c r="C90">
        <f>$B$5+A90-1</f>
        <v/>
      </c>
      <c r="D90">
        <f>IF(C90&gt;=120,1,MIN(1,IF(A90&lt;=$B$6,IF($B$4="M",Inputs_IAS19!$C$13,Inputs_IAS19!$C$14),IF($B$4="M",Inputs_IAS19!$C$15,Inputs_IAS19!$C$16))*INDEX(ILT!$B$2:$C$122,MIN(C90,120)+1,IF($B$4="M",1,2))*(1-Inputs_IAS19!$C$17)^MAX(B90-Inputs_IAS19!$C$18,0)))</f>
        <v/>
      </c>
      <c r="E90">
        <f>E89*(1-D90)</f>
        <v/>
      </c>
      <c r="F90">
        <f>(E89+E90)/2</f>
        <v/>
      </c>
      <c r="G90">
        <f>IF(A90&lt;$B$6+1,0,IF(A90=$B$6+1,1,G89*(1+IF(B90=Inputs_IAS19!$C$7,Inputs_IAS19!$C$8,Inputs_IAS19!$C$6))))</f>
        <v/>
      </c>
      <c r="H90">
        <f>$B$14*G90*F90</f>
        <v/>
      </c>
      <c r="I90">
        <f>(1+Inputs_IAS19!$C$26)^-(A90-0.5)</f>
        <v/>
      </c>
      <c r="J90">
        <f>H90*I90</f>
        <v/>
      </c>
      <c r="K90">
        <f>H90*INDEX(Curve_IAS19!$D$2:$D$101,A90)</f>
        <v/>
      </c>
    </row>
    <row r="91">
      <c r="A91" t="n">
        <v>73</v>
      </c>
      <c r="B91">
        <f>Inputs_IAS19!$C$2+A91</f>
        <v/>
      </c>
      <c r="C91">
        <f>$B$5+A91-1</f>
        <v/>
      </c>
      <c r="D91">
        <f>IF(C91&gt;=120,1,MIN(1,IF(A91&lt;=$B$6,IF($B$4="M",Inputs_IAS19!$C$13,Inputs_IAS19!$C$14),IF($B$4="M",Inputs_IAS19!$C$15,Inputs_IAS19!$C$16))*INDEX(ILT!$B$2:$C$122,MIN(C91,120)+1,IF($B$4="M",1,2))*(1-Inputs_IAS19!$C$17)^MAX(B91-Inputs_IAS19!$C$18,0)))</f>
        <v/>
      </c>
      <c r="E91">
        <f>E90*(1-D91)</f>
        <v/>
      </c>
      <c r="F91">
        <f>(E90+E91)/2</f>
        <v/>
      </c>
      <c r="G91">
        <f>IF(A91&lt;$B$6+1,0,IF(A91=$B$6+1,1,G90*(1+IF(B91=Inputs_IAS19!$C$7,Inputs_IAS19!$C$8,Inputs_IAS19!$C$6))))</f>
        <v/>
      </c>
      <c r="H91">
        <f>$B$14*G91*F91</f>
        <v/>
      </c>
      <c r="I91">
        <f>(1+Inputs_IAS19!$C$26)^-(A91-0.5)</f>
        <v/>
      </c>
      <c r="J91">
        <f>H91*I91</f>
        <v/>
      </c>
      <c r="K91">
        <f>H91*INDEX(Curve_IAS19!$D$2:$D$101,A91)</f>
        <v/>
      </c>
    </row>
    <row r="92">
      <c r="A92" t="n">
        <v>74</v>
      </c>
      <c r="B92">
        <f>Inputs_IAS19!$C$2+A92</f>
        <v/>
      </c>
      <c r="C92">
        <f>$B$5+A92-1</f>
        <v/>
      </c>
      <c r="D92">
        <f>IF(C92&gt;=120,1,MIN(1,IF(A92&lt;=$B$6,IF($B$4="M",Inputs_IAS19!$C$13,Inputs_IAS19!$C$14),IF($B$4="M",Inputs_IAS19!$C$15,Inputs_IAS19!$C$16))*INDEX(ILT!$B$2:$C$122,MIN(C92,120)+1,IF($B$4="M",1,2))*(1-Inputs_IAS19!$C$17)^MAX(B92-Inputs_IAS19!$C$18,0)))</f>
        <v/>
      </c>
      <c r="E92">
        <f>E91*(1-D92)</f>
        <v/>
      </c>
      <c r="F92">
        <f>(E91+E92)/2</f>
        <v/>
      </c>
      <c r="G92">
        <f>IF(A92&lt;$B$6+1,0,IF(A92=$B$6+1,1,G91*(1+IF(B92=Inputs_IAS19!$C$7,Inputs_IAS19!$C$8,Inputs_IAS19!$C$6))))</f>
        <v/>
      </c>
      <c r="H92">
        <f>$B$14*G92*F92</f>
        <v/>
      </c>
      <c r="I92">
        <f>(1+Inputs_IAS19!$C$26)^-(A92-0.5)</f>
        <v/>
      </c>
      <c r="J92">
        <f>H92*I92</f>
        <v/>
      </c>
      <c r="K92">
        <f>H92*INDEX(Curve_IAS19!$D$2:$D$101,A92)</f>
        <v/>
      </c>
    </row>
    <row r="93">
      <c r="A93" t="n">
        <v>75</v>
      </c>
      <c r="B93">
        <f>Inputs_IAS19!$C$2+A93</f>
        <v/>
      </c>
      <c r="C93">
        <f>$B$5+A93-1</f>
        <v/>
      </c>
      <c r="D93">
        <f>IF(C93&gt;=120,1,MIN(1,IF(A93&lt;=$B$6,IF($B$4="M",Inputs_IAS19!$C$13,Inputs_IAS19!$C$14),IF($B$4="M",Inputs_IAS19!$C$15,Inputs_IAS19!$C$16))*INDEX(ILT!$B$2:$C$122,MIN(C93,120)+1,IF($B$4="M",1,2))*(1-Inputs_IAS19!$C$17)^MAX(B93-Inputs_IAS19!$C$18,0)))</f>
        <v/>
      </c>
      <c r="E93">
        <f>E92*(1-D93)</f>
        <v/>
      </c>
      <c r="F93">
        <f>(E92+E93)/2</f>
        <v/>
      </c>
      <c r="G93">
        <f>IF(A93&lt;$B$6+1,0,IF(A93=$B$6+1,1,G92*(1+IF(B93=Inputs_IAS19!$C$7,Inputs_IAS19!$C$8,Inputs_IAS19!$C$6))))</f>
        <v/>
      </c>
      <c r="H93">
        <f>$B$14*G93*F93</f>
        <v/>
      </c>
      <c r="I93">
        <f>(1+Inputs_IAS19!$C$26)^-(A93-0.5)</f>
        <v/>
      </c>
      <c r="J93">
        <f>H93*I93</f>
        <v/>
      </c>
      <c r="K93">
        <f>H93*INDEX(Curve_IAS19!$D$2:$D$101,A93)</f>
        <v/>
      </c>
    </row>
    <row r="94">
      <c r="A94" t="n">
        <v>76</v>
      </c>
      <c r="B94">
        <f>Inputs_IAS19!$C$2+A94</f>
        <v/>
      </c>
      <c r="C94">
        <f>$B$5+A94-1</f>
        <v/>
      </c>
      <c r="D94">
        <f>IF(C94&gt;=120,1,MIN(1,IF(A94&lt;=$B$6,IF($B$4="M",Inputs_IAS19!$C$13,Inputs_IAS19!$C$14),IF($B$4="M",Inputs_IAS19!$C$15,Inputs_IAS19!$C$16))*INDEX(ILT!$B$2:$C$122,MIN(C94,120)+1,IF($B$4="M",1,2))*(1-Inputs_IAS19!$C$17)^MAX(B94-Inputs_IAS19!$C$18,0)))</f>
        <v/>
      </c>
      <c r="E94">
        <f>E93*(1-D94)</f>
        <v/>
      </c>
      <c r="F94">
        <f>(E93+E94)/2</f>
        <v/>
      </c>
      <c r="G94">
        <f>IF(A94&lt;$B$6+1,0,IF(A94=$B$6+1,1,G93*(1+IF(B94=Inputs_IAS19!$C$7,Inputs_IAS19!$C$8,Inputs_IAS19!$C$6))))</f>
        <v/>
      </c>
      <c r="H94">
        <f>$B$14*G94*F94</f>
        <v/>
      </c>
      <c r="I94">
        <f>(1+Inputs_IAS19!$C$26)^-(A94-0.5)</f>
        <v/>
      </c>
      <c r="J94">
        <f>H94*I94</f>
        <v/>
      </c>
      <c r="K94">
        <f>H94*INDEX(Curve_IAS19!$D$2:$D$101,A94)</f>
        <v/>
      </c>
    </row>
    <row r="95">
      <c r="A95" t="n">
        <v>77</v>
      </c>
      <c r="B95">
        <f>Inputs_IAS19!$C$2+A95</f>
        <v/>
      </c>
      <c r="C95">
        <f>$B$5+A95-1</f>
        <v/>
      </c>
      <c r="D95">
        <f>IF(C95&gt;=120,1,MIN(1,IF(A95&lt;=$B$6,IF($B$4="M",Inputs_IAS19!$C$13,Inputs_IAS19!$C$14),IF($B$4="M",Inputs_IAS19!$C$15,Inputs_IAS19!$C$16))*INDEX(ILT!$B$2:$C$122,MIN(C95,120)+1,IF($B$4="M",1,2))*(1-Inputs_IAS19!$C$17)^MAX(B95-Inputs_IAS19!$C$18,0)))</f>
        <v/>
      </c>
      <c r="E95">
        <f>E94*(1-D95)</f>
        <v/>
      </c>
      <c r="F95">
        <f>(E94+E95)/2</f>
        <v/>
      </c>
      <c r="G95">
        <f>IF(A95&lt;$B$6+1,0,IF(A95=$B$6+1,1,G94*(1+IF(B95=Inputs_IAS19!$C$7,Inputs_IAS19!$C$8,Inputs_IAS19!$C$6))))</f>
        <v/>
      </c>
      <c r="H95">
        <f>$B$14*G95*F95</f>
        <v/>
      </c>
      <c r="I95">
        <f>(1+Inputs_IAS19!$C$26)^-(A95-0.5)</f>
        <v/>
      </c>
      <c r="J95">
        <f>H95*I95</f>
        <v/>
      </c>
      <c r="K95">
        <f>H95*INDEX(Curve_IAS19!$D$2:$D$101,A95)</f>
        <v/>
      </c>
    </row>
    <row r="96">
      <c r="A96" t="n">
        <v>78</v>
      </c>
      <c r="B96">
        <f>Inputs_IAS19!$C$2+A96</f>
        <v/>
      </c>
      <c r="C96">
        <f>$B$5+A96-1</f>
        <v/>
      </c>
      <c r="D96">
        <f>IF(C96&gt;=120,1,MIN(1,IF(A96&lt;=$B$6,IF($B$4="M",Inputs_IAS19!$C$13,Inputs_IAS19!$C$14),IF($B$4="M",Inputs_IAS19!$C$15,Inputs_IAS19!$C$16))*INDEX(ILT!$B$2:$C$122,MIN(C96,120)+1,IF($B$4="M",1,2))*(1-Inputs_IAS19!$C$17)^MAX(B96-Inputs_IAS19!$C$18,0)))</f>
        <v/>
      </c>
      <c r="E96">
        <f>E95*(1-D96)</f>
        <v/>
      </c>
      <c r="F96">
        <f>(E95+E96)/2</f>
        <v/>
      </c>
      <c r="G96">
        <f>IF(A96&lt;$B$6+1,0,IF(A96=$B$6+1,1,G95*(1+IF(B96=Inputs_IAS19!$C$7,Inputs_IAS19!$C$8,Inputs_IAS19!$C$6))))</f>
        <v/>
      </c>
      <c r="H96">
        <f>$B$14*G96*F96</f>
        <v/>
      </c>
      <c r="I96">
        <f>(1+Inputs_IAS19!$C$26)^-(A96-0.5)</f>
        <v/>
      </c>
      <c r="J96">
        <f>H96*I96</f>
        <v/>
      </c>
      <c r="K96">
        <f>H96*INDEX(Curve_IAS19!$D$2:$D$101,A96)</f>
        <v/>
      </c>
    </row>
    <row r="97">
      <c r="A97" t="n">
        <v>79</v>
      </c>
      <c r="B97">
        <f>Inputs_IAS19!$C$2+A97</f>
        <v/>
      </c>
      <c r="C97">
        <f>$B$5+A97-1</f>
        <v/>
      </c>
      <c r="D97">
        <f>IF(C97&gt;=120,1,MIN(1,IF(A97&lt;=$B$6,IF($B$4="M",Inputs_IAS19!$C$13,Inputs_IAS19!$C$14),IF($B$4="M",Inputs_IAS19!$C$15,Inputs_IAS19!$C$16))*INDEX(ILT!$B$2:$C$122,MIN(C97,120)+1,IF($B$4="M",1,2))*(1-Inputs_IAS19!$C$17)^MAX(B97-Inputs_IAS19!$C$18,0)))</f>
        <v/>
      </c>
      <c r="E97">
        <f>E96*(1-D97)</f>
        <v/>
      </c>
      <c r="F97">
        <f>(E96+E97)/2</f>
        <v/>
      </c>
      <c r="G97">
        <f>IF(A97&lt;$B$6+1,0,IF(A97=$B$6+1,1,G96*(1+IF(B97=Inputs_IAS19!$C$7,Inputs_IAS19!$C$8,Inputs_IAS19!$C$6))))</f>
        <v/>
      </c>
      <c r="H97">
        <f>$B$14*G97*F97</f>
        <v/>
      </c>
      <c r="I97">
        <f>(1+Inputs_IAS19!$C$26)^-(A97-0.5)</f>
        <v/>
      </c>
      <c r="J97">
        <f>H97*I97</f>
        <v/>
      </c>
      <c r="K97">
        <f>H97*INDEX(Curve_IAS19!$D$2:$D$101,A97)</f>
        <v/>
      </c>
    </row>
    <row r="98">
      <c r="A98" t="n">
        <v>80</v>
      </c>
      <c r="B98">
        <f>Inputs_IAS19!$C$2+A98</f>
        <v/>
      </c>
      <c r="C98">
        <f>$B$5+A98-1</f>
        <v/>
      </c>
      <c r="D98">
        <f>IF(C98&gt;=120,1,MIN(1,IF(A98&lt;=$B$6,IF($B$4="M",Inputs_IAS19!$C$13,Inputs_IAS19!$C$14),IF($B$4="M",Inputs_IAS19!$C$15,Inputs_IAS19!$C$16))*INDEX(ILT!$B$2:$C$122,MIN(C98,120)+1,IF($B$4="M",1,2))*(1-Inputs_IAS19!$C$17)^MAX(B98-Inputs_IAS19!$C$18,0)))</f>
        <v/>
      </c>
      <c r="E98">
        <f>E97*(1-D98)</f>
        <v/>
      </c>
      <c r="F98">
        <f>(E97+E98)/2</f>
        <v/>
      </c>
      <c r="G98">
        <f>IF(A98&lt;$B$6+1,0,IF(A98=$B$6+1,1,G97*(1+IF(B98=Inputs_IAS19!$C$7,Inputs_IAS19!$C$8,Inputs_IAS19!$C$6))))</f>
        <v/>
      </c>
      <c r="H98">
        <f>$B$14*G98*F98</f>
        <v/>
      </c>
      <c r="I98">
        <f>(1+Inputs_IAS19!$C$26)^-(A98-0.5)</f>
        <v/>
      </c>
      <c r="J98">
        <f>H98*I98</f>
        <v/>
      </c>
      <c r="K98">
        <f>H98*INDEX(Curve_IAS19!$D$2:$D$101,A98)</f>
        <v/>
      </c>
    </row>
    <row r="99">
      <c r="A99" t="n">
        <v>81</v>
      </c>
      <c r="B99">
        <f>Inputs_IAS19!$C$2+A99</f>
        <v/>
      </c>
      <c r="C99">
        <f>$B$5+A99-1</f>
        <v/>
      </c>
      <c r="D99">
        <f>IF(C99&gt;=120,1,MIN(1,IF(A99&lt;=$B$6,IF($B$4="M",Inputs_IAS19!$C$13,Inputs_IAS19!$C$14),IF($B$4="M",Inputs_IAS19!$C$15,Inputs_IAS19!$C$16))*INDEX(ILT!$B$2:$C$122,MIN(C99,120)+1,IF($B$4="M",1,2))*(1-Inputs_IAS19!$C$17)^MAX(B99-Inputs_IAS19!$C$18,0)))</f>
        <v/>
      </c>
      <c r="E99">
        <f>E98*(1-D99)</f>
        <v/>
      </c>
      <c r="F99">
        <f>(E98+E99)/2</f>
        <v/>
      </c>
      <c r="G99">
        <f>IF(A99&lt;$B$6+1,0,IF(A99=$B$6+1,1,G98*(1+IF(B99=Inputs_IAS19!$C$7,Inputs_IAS19!$C$8,Inputs_IAS19!$C$6))))</f>
        <v/>
      </c>
      <c r="H99">
        <f>$B$14*G99*F99</f>
        <v/>
      </c>
      <c r="I99">
        <f>(1+Inputs_IAS19!$C$26)^-(A99-0.5)</f>
        <v/>
      </c>
      <c r="J99">
        <f>H99*I99</f>
        <v/>
      </c>
      <c r="K99">
        <f>H99*INDEX(Curve_IAS19!$D$2:$D$101,A99)</f>
        <v/>
      </c>
    </row>
    <row r="100">
      <c r="A100" t="n">
        <v>82</v>
      </c>
      <c r="B100">
        <f>Inputs_IAS19!$C$2+A100</f>
        <v/>
      </c>
      <c r="C100">
        <f>$B$5+A100-1</f>
        <v/>
      </c>
      <c r="D100">
        <f>IF(C100&gt;=120,1,MIN(1,IF(A100&lt;=$B$6,IF($B$4="M",Inputs_IAS19!$C$13,Inputs_IAS19!$C$14),IF($B$4="M",Inputs_IAS19!$C$15,Inputs_IAS19!$C$16))*INDEX(ILT!$B$2:$C$122,MIN(C100,120)+1,IF($B$4="M",1,2))*(1-Inputs_IAS19!$C$17)^MAX(B100-Inputs_IAS19!$C$18,0)))</f>
        <v/>
      </c>
      <c r="E100">
        <f>E99*(1-D100)</f>
        <v/>
      </c>
      <c r="F100">
        <f>(E99+E100)/2</f>
        <v/>
      </c>
      <c r="G100">
        <f>IF(A100&lt;$B$6+1,0,IF(A100=$B$6+1,1,G99*(1+IF(B100=Inputs_IAS19!$C$7,Inputs_IAS19!$C$8,Inputs_IAS19!$C$6))))</f>
        <v/>
      </c>
      <c r="H100">
        <f>$B$14*G100*F100</f>
        <v/>
      </c>
      <c r="I100">
        <f>(1+Inputs_IAS19!$C$26)^-(A100-0.5)</f>
        <v/>
      </c>
      <c r="J100">
        <f>H100*I100</f>
        <v/>
      </c>
      <c r="K100">
        <f>H100*INDEX(Curve_IAS19!$D$2:$D$101,A100)</f>
        <v/>
      </c>
    </row>
    <row r="101">
      <c r="A101" t="n">
        <v>83</v>
      </c>
      <c r="B101">
        <f>Inputs_IAS19!$C$2+A101</f>
        <v/>
      </c>
      <c r="C101">
        <f>$B$5+A101-1</f>
        <v/>
      </c>
      <c r="D101">
        <f>IF(C101&gt;=120,1,MIN(1,IF(A101&lt;=$B$6,IF($B$4="M",Inputs_IAS19!$C$13,Inputs_IAS19!$C$14),IF($B$4="M",Inputs_IAS19!$C$15,Inputs_IAS19!$C$16))*INDEX(ILT!$B$2:$C$122,MIN(C101,120)+1,IF($B$4="M",1,2))*(1-Inputs_IAS19!$C$17)^MAX(B101-Inputs_IAS19!$C$18,0)))</f>
        <v/>
      </c>
      <c r="E101">
        <f>E100*(1-D101)</f>
        <v/>
      </c>
      <c r="F101">
        <f>(E100+E101)/2</f>
        <v/>
      </c>
      <c r="G101">
        <f>IF(A101&lt;$B$6+1,0,IF(A101=$B$6+1,1,G100*(1+IF(B101=Inputs_IAS19!$C$7,Inputs_IAS19!$C$8,Inputs_IAS19!$C$6))))</f>
        <v/>
      </c>
      <c r="H101">
        <f>$B$14*G101*F101</f>
        <v/>
      </c>
      <c r="I101">
        <f>(1+Inputs_IAS19!$C$26)^-(A101-0.5)</f>
        <v/>
      </c>
      <c r="J101">
        <f>H101*I101</f>
        <v/>
      </c>
      <c r="K101">
        <f>H101*INDEX(Curve_IAS19!$D$2:$D$101,A101)</f>
        <v/>
      </c>
    </row>
    <row r="102">
      <c r="A102" t="n">
        <v>84</v>
      </c>
      <c r="B102">
        <f>Inputs_IAS19!$C$2+A102</f>
        <v/>
      </c>
      <c r="C102">
        <f>$B$5+A102-1</f>
        <v/>
      </c>
      <c r="D102">
        <f>IF(C102&gt;=120,1,MIN(1,IF(A102&lt;=$B$6,IF($B$4="M",Inputs_IAS19!$C$13,Inputs_IAS19!$C$14),IF($B$4="M",Inputs_IAS19!$C$15,Inputs_IAS19!$C$16))*INDEX(ILT!$B$2:$C$122,MIN(C102,120)+1,IF($B$4="M",1,2))*(1-Inputs_IAS19!$C$17)^MAX(B102-Inputs_IAS19!$C$18,0)))</f>
        <v/>
      </c>
      <c r="E102">
        <f>E101*(1-D102)</f>
        <v/>
      </c>
      <c r="F102">
        <f>(E101+E102)/2</f>
        <v/>
      </c>
      <c r="G102">
        <f>IF(A102&lt;$B$6+1,0,IF(A102=$B$6+1,1,G101*(1+IF(B102=Inputs_IAS19!$C$7,Inputs_IAS19!$C$8,Inputs_IAS19!$C$6))))</f>
        <v/>
      </c>
      <c r="H102">
        <f>$B$14*G102*F102</f>
        <v/>
      </c>
      <c r="I102">
        <f>(1+Inputs_IAS19!$C$26)^-(A102-0.5)</f>
        <v/>
      </c>
      <c r="J102">
        <f>H102*I102</f>
        <v/>
      </c>
      <c r="K102">
        <f>H102*INDEX(Curve_IAS19!$D$2:$D$101,A102)</f>
        <v/>
      </c>
    </row>
    <row r="103">
      <c r="A103" t="n">
        <v>85</v>
      </c>
      <c r="B103">
        <f>Inputs_IAS19!$C$2+A103</f>
        <v/>
      </c>
      <c r="C103">
        <f>$B$5+A103-1</f>
        <v/>
      </c>
      <c r="D103">
        <f>IF(C103&gt;=120,1,MIN(1,IF(A103&lt;=$B$6,IF($B$4="M",Inputs_IAS19!$C$13,Inputs_IAS19!$C$14),IF($B$4="M",Inputs_IAS19!$C$15,Inputs_IAS19!$C$16))*INDEX(ILT!$B$2:$C$122,MIN(C103,120)+1,IF($B$4="M",1,2))*(1-Inputs_IAS19!$C$17)^MAX(B103-Inputs_IAS19!$C$18,0)))</f>
        <v/>
      </c>
      <c r="E103">
        <f>E102*(1-D103)</f>
        <v/>
      </c>
      <c r="F103">
        <f>(E102+E103)/2</f>
        <v/>
      </c>
      <c r="G103">
        <f>IF(A103&lt;$B$6+1,0,IF(A103=$B$6+1,1,G102*(1+IF(B103=Inputs_IAS19!$C$7,Inputs_IAS19!$C$8,Inputs_IAS19!$C$6))))</f>
        <v/>
      </c>
      <c r="H103">
        <f>$B$14*G103*F103</f>
        <v/>
      </c>
      <c r="I103">
        <f>(1+Inputs_IAS19!$C$26)^-(A103-0.5)</f>
        <v/>
      </c>
      <c r="J103">
        <f>H103*I103</f>
        <v/>
      </c>
      <c r="K103">
        <f>H103*INDEX(Curve_IAS19!$D$2:$D$101,A103)</f>
        <v/>
      </c>
    </row>
    <row r="104">
      <c r="A104" t="n">
        <v>86</v>
      </c>
      <c r="B104">
        <f>Inputs_IAS19!$C$2+A104</f>
        <v/>
      </c>
      <c r="C104">
        <f>$B$5+A104-1</f>
        <v/>
      </c>
      <c r="D104">
        <f>IF(C104&gt;=120,1,MIN(1,IF(A104&lt;=$B$6,IF($B$4="M",Inputs_IAS19!$C$13,Inputs_IAS19!$C$14),IF($B$4="M",Inputs_IAS19!$C$15,Inputs_IAS19!$C$16))*INDEX(ILT!$B$2:$C$122,MIN(C104,120)+1,IF($B$4="M",1,2))*(1-Inputs_IAS19!$C$17)^MAX(B104-Inputs_IAS19!$C$18,0)))</f>
        <v/>
      </c>
      <c r="E104">
        <f>E103*(1-D104)</f>
        <v/>
      </c>
      <c r="F104">
        <f>(E103+E104)/2</f>
        <v/>
      </c>
      <c r="G104">
        <f>IF(A104&lt;$B$6+1,0,IF(A104=$B$6+1,1,G103*(1+IF(B104=Inputs_IAS19!$C$7,Inputs_IAS19!$C$8,Inputs_IAS19!$C$6))))</f>
        <v/>
      </c>
      <c r="H104">
        <f>$B$14*G104*F104</f>
        <v/>
      </c>
      <c r="I104">
        <f>(1+Inputs_IAS19!$C$26)^-(A104-0.5)</f>
        <v/>
      </c>
      <c r="J104">
        <f>H104*I104</f>
        <v/>
      </c>
      <c r="K104">
        <f>H104*INDEX(Curve_IAS19!$D$2:$D$101,A104)</f>
        <v/>
      </c>
    </row>
    <row r="105">
      <c r="A105" t="n">
        <v>87</v>
      </c>
      <c r="B105">
        <f>Inputs_IAS19!$C$2+A105</f>
        <v/>
      </c>
      <c r="C105">
        <f>$B$5+A105-1</f>
        <v/>
      </c>
      <c r="D105">
        <f>IF(C105&gt;=120,1,MIN(1,IF(A105&lt;=$B$6,IF($B$4="M",Inputs_IAS19!$C$13,Inputs_IAS19!$C$14),IF($B$4="M",Inputs_IAS19!$C$15,Inputs_IAS19!$C$16))*INDEX(ILT!$B$2:$C$122,MIN(C105,120)+1,IF($B$4="M",1,2))*(1-Inputs_IAS19!$C$17)^MAX(B105-Inputs_IAS19!$C$18,0)))</f>
        <v/>
      </c>
      <c r="E105">
        <f>E104*(1-D105)</f>
        <v/>
      </c>
      <c r="F105">
        <f>(E104+E105)/2</f>
        <v/>
      </c>
      <c r="G105">
        <f>IF(A105&lt;$B$6+1,0,IF(A105=$B$6+1,1,G104*(1+IF(B105=Inputs_IAS19!$C$7,Inputs_IAS19!$C$8,Inputs_IAS19!$C$6))))</f>
        <v/>
      </c>
      <c r="H105">
        <f>$B$14*G105*F105</f>
        <v/>
      </c>
      <c r="I105">
        <f>(1+Inputs_IAS19!$C$26)^-(A105-0.5)</f>
        <v/>
      </c>
      <c r="J105">
        <f>H105*I105</f>
        <v/>
      </c>
      <c r="K105">
        <f>H105*INDEX(Curve_IAS19!$D$2:$D$101,A105)</f>
        <v/>
      </c>
    </row>
    <row r="106">
      <c r="A106" t="n">
        <v>88</v>
      </c>
      <c r="B106">
        <f>Inputs_IAS19!$C$2+A106</f>
        <v/>
      </c>
      <c r="C106">
        <f>$B$5+A106-1</f>
        <v/>
      </c>
      <c r="D106">
        <f>IF(C106&gt;=120,1,MIN(1,IF(A106&lt;=$B$6,IF($B$4="M",Inputs_IAS19!$C$13,Inputs_IAS19!$C$14),IF($B$4="M",Inputs_IAS19!$C$15,Inputs_IAS19!$C$16))*INDEX(ILT!$B$2:$C$122,MIN(C106,120)+1,IF($B$4="M",1,2))*(1-Inputs_IAS19!$C$17)^MAX(B106-Inputs_IAS19!$C$18,0)))</f>
        <v/>
      </c>
      <c r="E106">
        <f>E105*(1-D106)</f>
        <v/>
      </c>
      <c r="F106">
        <f>(E105+E106)/2</f>
        <v/>
      </c>
      <c r="G106">
        <f>IF(A106&lt;$B$6+1,0,IF(A106=$B$6+1,1,G105*(1+IF(B106=Inputs_IAS19!$C$7,Inputs_IAS19!$C$8,Inputs_IAS19!$C$6))))</f>
        <v/>
      </c>
      <c r="H106">
        <f>$B$14*G106*F106</f>
        <v/>
      </c>
      <c r="I106">
        <f>(1+Inputs_IAS19!$C$26)^-(A106-0.5)</f>
        <v/>
      </c>
      <c r="J106">
        <f>H106*I106</f>
        <v/>
      </c>
      <c r="K106">
        <f>H106*INDEX(Curve_IAS19!$D$2:$D$101,A106)</f>
        <v/>
      </c>
    </row>
    <row r="107">
      <c r="A107" t="n">
        <v>89</v>
      </c>
      <c r="B107">
        <f>Inputs_IAS19!$C$2+A107</f>
        <v/>
      </c>
      <c r="C107">
        <f>$B$5+A107-1</f>
        <v/>
      </c>
      <c r="D107">
        <f>IF(C107&gt;=120,1,MIN(1,IF(A107&lt;=$B$6,IF($B$4="M",Inputs_IAS19!$C$13,Inputs_IAS19!$C$14),IF($B$4="M",Inputs_IAS19!$C$15,Inputs_IAS19!$C$16))*INDEX(ILT!$B$2:$C$122,MIN(C107,120)+1,IF($B$4="M",1,2))*(1-Inputs_IAS19!$C$17)^MAX(B107-Inputs_IAS19!$C$18,0)))</f>
        <v/>
      </c>
      <c r="E107">
        <f>E106*(1-D107)</f>
        <v/>
      </c>
      <c r="F107">
        <f>(E106+E107)/2</f>
        <v/>
      </c>
      <c r="G107">
        <f>IF(A107&lt;$B$6+1,0,IF(A107=$B$6+1,1,G106*(1+IF(B107=Inputs_IAS19!$C$7,Inputs_IAS19!$C$8,Inputs_IAS19!$C$6))))</f>
        <v/>
      </c>
      <c r="H107">
        <f>$B$14*G107*F107</f>
        <v/>
      </c>
      <c r="I107">
        <f>(1+Inputs_IAS19!$C$26)^-(A107-0.5)</f>
        <v/>
      </c>
      <c r="J107">
        <f>H107*I107</f>
        <v/>
      </c>
      <c r="K107">
        <f>H107*INDEX(Curve_IAS19!$D$2:$D$101,A107)</f>
        <v/>
      </c>
    </row>
    <row r="108">
      <c r="A108" t="n">
        <v>90</v>
      </c>
      <c r="B108">
        <f>Inputs_IAS19!$C$2+A108</f>
        <v/>
      </c>
      <c r="C108">
        <f>$B$5+A108-1</f>
        <v/>
      </c>
      <c r="D108">
        <f>IF(C108&gt;=120,1,MIN(1,IF(A108&lt;=$B$6,IF($B$4="M",Inputs_IAS19!$C$13,Inputs_IAS19!$C$14),IF($B$4="M",Inputs_IAS19!$C$15,Inputs_IAS19!$C$16))*INDEX(ILT!$B$2:$C$122,MIN(C108,120)+1,IF($B$4="M",1,2))*(1-Inputs_IAS19!$C$17)^MAX(B108-Inputs_IAS19!$C$18,0)))</f>
        <v/>
      </c>
      <c r="E108">
        <f>E107*(1-D108)</f>
        <v/>
      </c>
      <c r="F108">
        <f>(E107+E108)/2</f>
        <v/>
      </c>
      <c r="G108">
        <f>IF(A108&lt;$B$6+1,0,IF(A108=$B$6+1,1,G107*(1+IF(B108=Inputs_IAS19!$C$7,Inputs_IAS19!$C$8,Inputs_IAS19!$C$6))))</f>
        <v/>
      </c>
      <c r="H108">
        <f>$B$14*G108*F108</f>
        <v/>
      </c>
      <c r="I108">
        <f>(1+Inputs_IAS19!$C$26)^-(A108-0.5)</f>
        <v/>
      </c>
      <c r="J108">
        <f>H108*I108</f>
        <v/>
      </c>
      <c r="K108">
        <f>H108*INDEX(Curve_IAS19!$D$2:$D$101,A108)</f>
        <v/>
      </c>
    </row>
    <row r="109">
      <c r="A109" t="n">
        <v>91</v>
      </c>
      <c r="B109">
        <f>Inputs_IAS19!$C$2+A109</f>
        <v/>
      </c>
      <c r="C109">
        <f>$B$5+A109-1</f>
        <v/>
      </c>
      <c r="D109">
        <f>IF(C109&gt;=120,1,MIN(1,IF(A109&lt;=$B$6,IF($B$4="M",Inputs_IAS19!$C$13,Inputs_IAS19!$C$14),IF($B$4="M",Inputs_IAS19!$C$15,Inputs_IAS19!$C$16))*INDEX(ILT!$B$2:$C$122,MIN(C109,120)+1,IF($B$4="M",1,2))*(1-Inputs_IAS19!$C$17)^MAX(B109-Inputs_IAS19!$C$18,0)))</f>
        <v/>
      </c>
      <c r="E109">
        <f>E108*(1-D109)</f>
        <v/>
      </c>
      <c r="F109">
        <f>(E108+E109)/2</f>
        <v/>
      </c>
      <c r="G109">
        <f>IF(A109&lt;$B$6+1,0,IF(A109=$B$6+1,1,G108*(1+IF(B109=Inputs_IAS19!$C$7,Inputs_IAS19!$C$8,Inputs_IAS19!$C$6))))</f>
        <v/>
      </c>
      <c r="H109">
        <f>$B$14*G109*F109</f>
        <v/>
      </c>
      <c r="I109">
        <f>(1+Inputs_IAS19!$C$26)^-(A109-0.5)</f>
        <v/>
      </c>
      <c r="J109">
        <f>H109*I109</f>
        <v/>
      </c>
      <c r="K109">
        <f>H109*INDEX(Curve_IAS19!$D$2:$D$101,A109)</f>
        <v/>
      </c>
    </row>
    <row r="110">
      <c r="A110" t="n">
        <v>92</v>
      </c>
      <c r="B110">
        <f>Inputs_IAS19!$C$2+A110</f>
        <v/>
      </c>
      <c r="C110">
        <f>$B$5+A110-1</f>
        <v/>
      </c>
      <c r="D110">
        <f>IF(C110&gt;=120,1,MIN(1,IF(A110&lt;=$B$6,IF($B$4="M",Inputs_IAS19!$C$13,Inputs_IAS19!$C$14),IF($B$4="M",Inputs_IAS19!$C$15,Inputs_IAS19!$C$16))*INDEX(ILT!$B$2:$C$122,MIN(C110,120)+1,IF($B$4="M",1,2))*(1-Inputs_IAS19!$C$17)^MAX(B110-Inputs_IAS19!$C$18,0)))</f>
        <v/>
      </c>
      <c r="E110">
        <f>E109*(1-D110)</f>
        <v/>
      </c>
      <c r="F110">
        <f>(E109+E110)/2</f>
        <v/>
      </c>
      <c r="G110">
        <f>IF(A110&lt;$B$6+1,0,IF(A110=$B$6+1,1,G109*(1+IF(B110=Inputs_IAS19!$C$7,Inputs_IAS19!$C$8,Inputs_IAS19!$C$6))))</f>
        <v/>
      </c>
      <c r="H110">
        <f>$B$14*G110*F110</f>
        <v/>
      </c>
      <c r="I110">
        <f>(1+Inputs_IAS19!$C$26)^-(A110-0.5)</f>
        <v/>
      </c>
      <c r="J110">
        <f>H110*I110</f>
        <v/>
      </c>
      <c r="K110">
        <f>H110*INDEX(Curve_IAS19!$D$2:$D$101,A110)</f>
        <v/>
      </c>
    </row>
    <row r="111">
      <c r="A111" t="n">
        <v>93</v>
      </c>
      <c r="B111">
        <f>Inputs_IAS19!$C$2+A111</f>
        <v/>
      </c>
      <c r="C111">
        <f>$B$5+A111-1</f>
        <v/>
      </c>
      <c r="D111">
        <f>IF(C111&gt;=120,1,MIN(1,IF(A111&lt;=$B$6,IF($B$4="M",Inputs_IAS19!$C$13,Inputs_IAS19!$C$14),IF($B$4="M",Inputs_IAS19!$C$15,Inputs_IAS19!$C$16))*INDEX(ILT!$B$2:$C$122,MIN(C111,120)+1,IF($B$4="M",1,2))*(1-Inputs_IAS19!$C$17)^MAX(B111-Inputs_IAS19!$C$18,0)))</f>
        <v/>
      </c>
      <c r="E111">
        <f>E110*(1-D111)</f>
        <v/>
      </c>
      <c r="F111">
        <f>(E110+E111)/2</f>
        <v/>
      </c>
      <c r="G111">
        <f>IF(A111&lt;$B$6+1,0,IF(A111=$B$6+1,1,G110*(1+IF(B111=Inputs_IAS19!$C$7,Inputs_IAS19!$C$8,Inputs_IAS19!$C$6))))</f>
        <v/>
      </c>
      <c r="H111">
        <f>$B$14*G111*F111</f>
        <v/>
      </c>
      <c r="I111">
        <f>(1+Inputs_IAS19!$C$26)^-(A111-0.5)</f>
        <v/>
      </c>
      <c r="J111">
        <f>H111*I111</f>
        <v/>
      </c>
      <c r="K111">
        <f>H111*INDEX(Curve_IAS19!$D$2:$D$101,A111)</f>
        <v/>
      </c>
    </row>
    <row r="112">
      <c r="A112" t="n">
        <v>94</v>
      </c>
      <c r="B112">
        <f>Inputs_IAS19!$C$2+A112</f>
        <v/>
      </c>
      <c r="C112">
        <f>$B$5+A112-1</f>
        <v/>
      </c>
      <c r="D112">
        <f>IF(C112&gt;=120,1,MIN(1,IF(A112&lt;=$B$6,IF($B$4="M",Inputs_IAS19!$C$13,Inputs_IAS19!$C$14),IF($B$4="M",Inputs_IAS19!$C$15,Inputs_IAS19!$C$16))*INDEX(ILT!$B$2:$C$122,MIN(C112,120)+1,IF($B$4="M",1,2))*(1-Inputs_IAS19!$C$17)^MAX(B112-Inputs_IAS19!$C$18,0)))</f>
        <v/>
      </c>
      <c r="E112">
        <f>E111*(1-D112)</f>
        <v/>
      </c>
      <c r="F112">
        <f>(E111+E112)/2</f>
        <v/>
      </c>
      <c r="G112">
        <f>IF(A112&lt;$B$6+1,0,IF(A112=$B$6+1,1,G111*(1+IF(B112=Inputs_IAS19!$C$7,Inputs_IAS19!$C$8,Inputs_IAS19!$C$6))))</f>
        <v/>
      </c>
      <c r="H112">
        <f>$B$14*G112*F112</f>
        <v/>
      </c>
      <c r="I112">
        <f>(1+Inputs_IAS19!$C$26)^-(A112-0.5)</f>
        <v/>
      </c>
      <c r="J112">
        <f>H112*I112</f>
        <v/>
      </c>
      <c r="K112">
        <f>H112*INDEX(Curve_IAS19!$D$2:$D$101,A112)</f>
        <v/>
      </c>
    </row>
    <row r="113">
      <c r="A113" t="n">
        <v>95</v>
      </c>
      <c r="B113">
        <f>Inputs_IAS19!$C$2+A113</f>
        <v/>
      </c>
      <c r="C113">
        <f>$B$5+A113-1</f>
        <v/>
      </c>
      <c r="D113">
        <f>IF(C113&gt;=120,1,MIN(1,IF(A113&lt;=$B$6,IF($B$4="M",Inputs_IAS19!$C$13,Inputs_IAS19!$C$14),IF($B$4="M",Inputs_IAS19!$C$15,Inputs_IAS19!$C$16))*INDEX(ILT!$B$2:$C$122,MIN(C113,120)+1,IF($B$4="M",1,2))*(1-Inputs_IAS19!$C$17)^MAX(B113-Inputs_IAS19!$C$18,0)))</f>
        <v/>
      </c>
      <c r="E113">
        <f>E112*(1-D113)</f>
        <v/>
      </c>
      <c r="F113">
        <f>(E112+E113)/2</f>
        <v/>
      </c>
      <c r="G113">
        <f>IF(A113&lt;$B$6+1,0,IF(A113=$B$6+1,1,G112*(1+IF(B113=Inputs_IAS19!$C$7,Inputs_IAS19!$C$8,Inputs_IAS19!$C$6))))</f>
        <v/>
      </c>
      <c r="H113">
        <f>$B$14*G113*F113</f>
        <v/>
      </c>
      <c r="I113">
        <f>(1+Inputs_IAS19!$C$26)^-(A113-0.5)</f>
        <v/>
      </c>
      <c r="J113">
        <f>H113*I113</f>
        <v/>
      </c>
      <c r="K113">
        <f>H113*INDEX(Curve_IAS19!$D$2:$D$101,A113)</f>
        <v/>
      </c>
    </row>
    <row r="114">
      <c r="A114" t="n">
        <v>96</v>
      </c>
      <c r="B114">
        <f>Inputs_IAS19!$C$2+A114</f>
        <v/>
      </c>
      <c r="C114">
        <f>$B$5+A114-1</f>
        <v/>
      </c>
      <c r="D114">
        <f>IF(C114&gt;=120,1,MIN(1,IF(A114&lt;=$B$6,IF($B$4="M",Inputs_IAS19!$C$13,Inputs_IAS19!$C$14),IF($B$4="M",Inputs_IAS19!$C$15,Inputs_IAS19!$C$16))*INDEX(ILT!$B$2:$C$122,MIN(C114,120)+1,IF($B$4="M",1,2))*(1-Inputs_IAS19!$C$17)^MAX(B114-Inputs_IAS19!$C$18,0)))</f>
        <v/>
      </c>
      <c r="E114">
        <f>E113*(1-D114)</f>
        <v/>
      </c>
      <c r="F114">
        <f>(E113+E114)/2</f>
        <v/>
      </c>
      <c r="G114">
        <f>IF(A114&lt;$B$6+1,0,IF(A114=$B$6+1,1,G113*(1+IF(B114=Inputs_IAS19!$C$7,Inputs_IAS19!$C$8,Inputs_IAS19!$C$6))))</f>
        <v/>
      </c>
      <c r="H114">
        <f>$B$14*G114*F114</f>
        <v/>
      </c>
      <c r="I114">
        <f>(1+Inputs_IAS19!$C$26)^-(A114-0.5)</f>
        <v/>
      </c>
      <c r="J114">
        <f>H114*I114</f>
        <v/>
      </c>
      <c r="K114">
        <f>H114*INDEX(Curve_IAS19!$D$2:$D$101,A114)</f>
        <v/>
      </c>
    </row>
    <row r="115">
      <c r="A115" t="n">
        <v>97</v>
      </c>
      <c r="B115">
        <f>Inputs_IAS19!$C$2+A115</f>
        <v/>
      </c>
      <c r="C115">
        <f>$B$5+A115-1</f>
        <v/>
      </c>
      <c r="D115">
        <f>IF(C115&gt;=120,1,MIN(1,IF(A115&lt;=$B$6,IF($B$4="M",Inputs_IAS19!$C$13,Inputs_IAS19!$C$14),IF($B$4="M",Inputs_IAS19!$C$15,Inputs_IAS19!$C$16))*INDEX(ILT!$B$2:$C$122,MIN(C115,120)+1,IF($B$4="M",1,2))*(1-Inputs_IAS19!$C$17)^MAX(B115-Inputs_IAS19!$C$18,0)))</f>
        <v/>
      </c>
      <c r="E115">
        <f>E114*(1-D115)</f>
        <v/>
      </c>
      <c r="F115">
        <f>(E114+E115)/2</f>
        <v/>
      </c>
      <c r="G115">
        <f>IF(A115&lt;$B$6+1,0,IF(A115=$B$6+1,1,G114*(1+IF(B115=Inputs_IAS19!$C$7,Inputs_IAS19!$C$8,Inputs_IAS19!$C$6))))</f>
        <v/>
      </c>
      <c r="H115">
        <f>$B$14*G115*F115</f>
        <v/>
      </c>
      <c r="I115">
        <f>(1+Inputs_IAS19!$C$26)^-(A115-0.5)</f>
        <v/>
      </c>
      <c r="J115">
        <f>H115*I115</f>
        <v/>
      </c>
      <c r="K115">
        <f>H115*INDEX(Curve_IAS19!$D$2:$D$101,A115)</f>
        <v/>
      </c>
    </row>
    <row r="116">
      <c r="A116" t="n">
        <v>98</v>
      </c>
      <c r="B116">
        <f>Inputs_IAS19!$C$2+A116</f>
        <v/>
      </c>
      <c r="C116">
        <f>$B$5+A116-1</f>
        <v/>
      </c>
      <c r="D116">
        <f>IF(C116&gt;=120,1,MIN(1,IF(A116&lt;=$B$6,IF($B$4="M",Inputs_IAS19!$C$13,Inputs_IAS19!$C$14),IF($B$4="M",Inputs_IAS19!$C$15,Inputs_IAS19!$C$16))*INDEX(ILT!$B$2:$C$122,MIN(C116,120)+1,IF($B$4="M",1,2))*(1-Inputs_IAS19!$C$17)^MAX(B116-Inputs_IAS19!$C$18,0)))</f>
        <v/>
      </c>
      <c r="E116">
        <f>E115*(1-D116)</f>
        <v/>
      </c>
      <c r="F116">
        <f>(E115+E116)/2</f>
        <v/>
      </c>
      <c r="G116">
        <f>IF(A116&lt;$B$6+1,0,IF(A116=$B$6+1,1,G115*(1+IF(B116=Inputs_IAS19!$C$7,Inputs_IAS19!$C$8,Inputs_IAS19!$C$6))))</f>
        <v/>
      </c>
      <c r="H116">
        <f>$B$14*G116*F116</f>
        <v/>
      </c>
      <c r="I116">
        <f>(1+Inputs_IAS19!$C$26)^-(A116-0.5)</f>
        <v/>
      </c>
      <c r="J116">
        <f>H116*I116</f>
        <v/>
      </c>
      <c r="K116">
        <f>H116*INDEX(Curve_IAS19!$D$2:$D$101,A116)</f>
        <v/>
      </c>
    </row>
    <row r="117">
      <c r="A117" t="n">
        <v>99</v>
      </c>
      <c r="B117">
        <f>Inputs_IAS19!$C$2+A117</f>
        <v/>
      </c>
      <c r="C117">
        <f>$B$5+A117-1</f>
        <v/>
      </c>
      <c r="D117">
        <f>IF(C117&gt;=120,1,MIN(1,IF(A117&lt;=$B$6,IF($B$4="M",Inputs_IAS19!$C$13,Inputs_IAS19!$C$14),IF($B$4="M",Inputs_IAS19!$C$15,Inputs_IAS19!$C$16))*INDEX(ILT!$B$2:$C$122,MIN(C117,120)+1,IF($B$4="M",1,2))*(1-Inputs_IAS19!$C$17)^MAX(B117-Inputs_IAS19!$C$18,0)))</f>
        <v/>
      </c>
      <c r="E117">
        <f>E116*(1-D117)</f>
        <v/>
      </c>
      <c r="F117">
        <f>(E116+E117)/2</f>
        <v/>
      </c>
      <c r="G117">
        <f>IF(A117&lt;$B$6+1,0,IF(A117=$B$6+1,1,G116*(1+IF(B117=Inputs_IAS19!$C$7,Inputs_IAS19!$C$8,Inputs_IAS19!$C$6))))</f>
        <v/>
      </c>
      <c r="H117">
        <f>$B$14*G117*F117</f>
        <v/>
      </c>
      <c r="I117">
        <f>(1+Inputs_IAS19!$C$26)^-(A117-0.5)</f>
        <v/>
      </c>
      <c r="J117">
        <f>H117*I117</f>
        <v/>
      </c>
      <c r="K117">
        <f>H117*INDEX(Curve_IAS19!$D$2:$D$101,A117)</f>
        <v/>
      </c>
    </row>
    <row r="118">
      <c r="A118" t="n">
        <v>100</v>
      </c>
      <c r="B118">
        <f>Inputs_IAS19!$C$2+A118</f>
        <v/>
      </c>
      <c r="C118">
        <f>$B$5+A118-1</f>
        <v/>
      </c>
      <c r="D118">
        <f>IF(C118&gt;=120,1,MIN(1,IF(A118&lt;=$B$6,IF($B$4="M",Inputs_IAS19!$C$13,Inputs_IAS19!$C$14),IF($B$4="M",Inputs_IAS19!$C$15,Inputs_IAS19!$C$16))*INDEX(ILT!$B$2:$C$122,MIN(C118,120)+1,IF($B$4="M",1,2))*(1-Inputs_IAS19!$C$17)^MAX(B118-Inputs_IAS19!$C$18,0)))</f>
        <v/>
      </c>
      <c r="E118">
        <f>E117*(1-D118)</f>
        <v/>
      </c>
      <c r="F118">
        <f>(E117+E118)/2</f>
        <v/>
      </c>
      <c r="G118">
        <f>IF(A118&lt;$B$6+1,0,IF(A118=$B$6+1,1,G117*(1+IF(B118=Inputs_IAS19!$C$7,Inputs_IAS19!$C$8,Inputs_IAS19!$C$6))))</f>
        <v/>
      </c>
      <c r="H118">
        <f>$B$14*G118*F118</f>
        <v/>
      </c>
      <c r="I118">
        <f>(1+Inputs_IAS19!$C$26)^-(A118-0.5)</f>
        <v/>
      </c>
      <c r="J118">
        <f>H118*I118</f>
        <v/>
      </c>
      <c r="K118">
        <f>H118*INDEX(Curve_IAS19!$D$2:$D$101,A118)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Active: withdraw (deferred pension) / die (nothing) / retire at 65; past service only (PUC)</t>
        </is>
      </c>
    </row>
    <row r="3">
      <c r="A3" t="inlineStr">
        <is>
          <t>member_id</t>
        </is>
      </c>
      <c r="B3" s="2" t="inlineStr">
        <is>
          <t>M0013</t>
        </is>
      </c>
      <c r="D3" t="inlineStr">
        <is>
          <t>PV (flat rate)</t>
        </is>
      </c>
      <c r="E3">
        <f>SUM(J19:J118)</f>
        <v/>
      </c>
    </row>
    <row r="4">
      <c r="A4" t="inlineStr">
        <is>
          <t>sex</t>
        </is>
      </c>
      <c r="B4" s="2" t="inlineStr">
        <is>
          <t>M</t>
        </is>
      </c>
      <c r="D4" t="inlineStr">
        <is>
          <t>PV (IAS 19 curve)</t>
        </is>
      </c>
      <c r="E4">
        <f>SUM(K19:K118)</f>
        <v/>
      </c>
    </row>
    <row r="5">
      <c r="A5" t="inlineStr">
        <is>
          <t>age x (nearest, at valuation)</t>
        </is>
      </c>
      <c r="B5" s="2" t="n">
        <v>43</v>
      </c>
    </row>
    <row r="6">
      <c r="A6" t="inlineStr">
        <is>
          <t>T (years to 65)</t>
        </is>
      </c>
      <c r="B6" s="2" t="n">
        <v>22</v>
      </c>
    </row>
    <row r="7">
      <c r="A7" t="inlineStr">
        <is>
          <t>service n (years)</t>
        </is>
      </c>
      <c r="B7" s="2" t="n">
        <v>21.2485</v>
      </c>
    </row>
    <row r="8">
      <c r="A8" t="inlineStr">
        <is>
          <t>salary (2025)</t>
        </is>
      </c>
      <c r="B8" s="2" t="n">
        <v>81469</v>
      </c>
    </row>
    <row r="9">
      <c r="A9" t="inlineStr">
        <is>
          <t>salary at 65</t>
        </is>
      </c>
      <c r="B9">
        <f>B8*(1+Inputs_IAS19!$C$4)^B6</f>
        <v/>
      </c>
    </row>
    <row r="10">
      <c r="A10" t="inlineStr">
        <is>
          <t>SPC at 65</t>
        </is>
      </c>
      <c r="B10">
        <f>Inputs_IAS19!$C$9*(1+Inputs_IAS19!$C$3)^(B6-1)</f>
        <v/>
      </c>
    </row>
    <row r="11">
      <c r="A11" t="inlineStr">
        <is>
          <t>retirement pension R</t>
        </is>
      </c>
      <c r="B11">
        <f>MIN(B7,Inputs_IAS19!$C$12)/Inputs_IAS19!$C$11*MAX(B9-Inputs_IAS19!$C$10*B10,0)</f>
        <v/>
      </c>
    </row>
    <row r="12">
      <c r="A12" t="inlineStr">
        <is>
          <t>K = leaver terms + in service at 65 x R / s(T)</t>
        </is>
      </c>
      <c r="B12">
        <f>SUM(U19:U118)+INDEX(O18:O118,$B$6+1)*B11/INDEX(E18:E118,$B$6+1)</f>
        <v/>
      </c>
    </row>
    <row r="17">
      <c r="A17" s="3" t="inlineStr">
        <is>
          <t>t</t>
        </is>
      </c>
      <c r="B17" s="3" t="inlineStr">
        <is>
          <t>year</t>
        </is>
      </c>
      <c r="C17" s="3" t="inlineStr">
        <is>
          <t>age</t>
        </is>
      </c>
      <c r="D17" s="3" t="inlineStr">
        <is>
          <t>q</t>
        </is>
      </c>
      <c r="E17" s="3" t="inlineStr">
        <is>
          <t>survival</t>
        </is>
      </c>
      <c r="F17" s="3" t="inlineStr">
        <is>
          <t>avg survival</t>
        </is>
      </c>
      <c r="G17" s="3" t="inlineStr">
        <is>
          <t>pension index</t>
        </is>
      </c>
      <c r="H17" s="3" t="inlineStr">
        <is>
          <t>cash flow</t>
        </is>
      </c>
      <c r="I17" s="3" t="inlineStr">
        <is>
          <t>DF 1</t>
        </is>
      </c>
      <c r="J17" s="3" t="inlineStr">
        <is>
          <t>PV 1</t>
        </is>
      </c>
      <c r="K17" s="3" t="inlineStr">
        <is>
          <t>PV 2</t>
        </is>
      </c>
      <c r="M17" s="3" t="inlineStr">
        <is>
          <t>q death</t>
        </is>
      </c>
      <c r="N17" s="3" t="inlineStr">
        <is>
          <t>q withdraw</t>
        </is>
      </c>
      <c r="O17" s="3" t="inlineStr">
        <is>
          <t>in service</t>
        </is>
      </c>
      <c r="P17" s="3" t="inlineStr">
        <is>
          <t>leavers</t>
        </is>
      </c>
      <c r="Q17" s="3" t="inlineStr">
        <is>
          <t>salary</t>
        </is>
      </c>
      <c r="R17" s="3" t="inlineStr">
        <is>
          <t>SPC</t>
        </is>
      </c>
      <c r="S17" s="3" t="inlineStr">
        <is>
          <t>B at exit</t>
        </is>
      </c>
      <c r="T17" s="3" t="inlineStr">
        <is>
          <t>B65</t>
        </is>
      </c>
      <c r="U17" s="3" t="inlineStr">
        <is>
          <t>leaver term</t>
        </is>
      </c>
    </row>
    <row r="18">
      <c r="A18" t="n">
        <v>0</v>
      </c>
      <c r="E18" t="n">
        <v>1</v>
      </c>
      <c r="G18" t="n">
        <v>0</v>
      </c>
      <c r="O18" t="n">
        <v>1</v>
      </c>
    </row>
    <row r="19">
      <c r="A19" t="n">
        <v>1</v>
      </c>
      <c r="B19">
        <f>Inputs_IAS19!$C$2+A19</f>
        <v/>
      </c>
      <c r="C19">
        <f>$B$5+A19-1</f>
        <v/>
      </c>
      <c r="D19">
        <f>IF(C19&gt;=120,1,MIN(1,IF(A19&lt;=$B$6,IF($B$4="M",Inputs_IAS19!$C$13,Inputs_IAS19!$C$14),IF($B$4="M",Inputs_IAS19!$C$15,Inputs_IAS19!$C$16))*INDEX(ILT!$B$2:$C$122,MIN(C19,120)+1,IF($B$4="M",1,2))*(1-Inputs_IAS19!$C$17)^MAX(B19-Inputs_IAS19!$C$18,0)))</f>
        <v/>
      </c>
      <c r="E19">
        <f>E18*(1-D19)</f>
        <v/>
      </c>
      <c r="F19">
        <f>(E18+E19)/2</f>
        <v/>
      </c>
      <c r="G19">
        <f>IF(A19&lt;$B$6+1,0,IF(A19=$B$6+1,1,G18*(1+IF(B19=Inputs_IAS19!$C$7,Inputs_IAS19!$C$8,Inputs_IAS19!$C$6))))</f>
        <v/>
      </c>
      <c r="H19">
        <f>$B$12*G19*F19</f>
        <v/>
      </c>
      <c r="I19">
        <f>(1+Inputs_IAS19!$C$26)^-(A19-0.5)</f>
        <v/>
      </c>
      <c r="J19">
        <f>H19*I19</f>
        <v/>
      </c>
      <c r="K19">
        <f>H19*INDEX(Curve_IAS19!$D$2:$D$101,A19)</f>
        <v/>
      </c>
      <c r="M19">
        <f>IF(A19&lt;=$B$6,1-E19/E18,0)</f>
        <v/>
      </c>
      <c r="N19">
        <f>IF(A19&lt;=$B$6,Inputs_IAS19!$C$19*IF(C19&lt;Inputs_IAS19!$C$22,MAX(0,Inputs_IAS19!$C$20-Inputs_IAS19!$C$21*(C19-35)),0),0)</f>
        <v/>
      </c>
      <c r="O19">
        <f>O18*(1-M19-N19)</f>
        <v/>
      </c>
      <c r="P19">
        <f>O18*N19</f>
        <v/>
      </c>
      <c r="Q19">
        <f>$B$8*(1+Inputs_IAS19!$C$4)^A19</f>
        <v/>
      </c>
      <c r="R19">
        <f>Inputs_IAS19!$C$9*(1+Inputs_IAS19!$C$3)^(A19-1)</f>
        <v/>
      </c>
      <c r="S19">
        <f>MIN($B$7,Inputs_IAS19!$C$12)/Inputs_IAS19!$C$11*MAX(Q19-Inputs_IAS19!$C$10*R19,0)</f>
        <v/>
      </c>
      <c r="T19">
        <f>S19*(1+Inputs_IAS19!$C$5*0.5)*(1+Inputs_IAS19!$C$5)^($B$6-A19)</f>
        <v/>
      </c>
      <c r="U19">
        <f>IF(A19&lt;=$B$6,P19*(1-M19/2)*T19/E19,0)</f>
        <v/>
      </c>
    </row>
    <row r="20">
      <c r="A20" t="n">
        <v>2</v>
      </c>
      <c r="B20">
        <f>Inputs_IAS19!$C$2+A20</f>
        <v/>
      </c>
      <c r="C20">
        <f>$B$5+A20-1</f>
        <v/>
      </c>
      <c r="D20">
        <f>IF(C20&gt;=120,1,MIN(1,IF(A20&lt;=$B$6,IF($B$4="M",Inputs_IAS19!$C$13,Inputs_IAS19!$C$14),IF($B$4="M",Inputs_IAS19!$C$15,Inputs_IAS19!$C$16))*INDEX(ILT!$B$2:$C$122,MIN(C20,120)+1,IF($B$4="M",1,2))*(1-Inputs_IAS19!$C$17)^MAX(B20-Inputs_IAS19!$C$18,0)))</f>
        <v/>
      </c>
      <c r="E20">
        <f>E19*(1-D20)</f>
        <v/>
      </c>
      <c r="F20">
        <f>(E19+E20)/2</f>
        <v/>
      </c>
      <c r="G20">
        <f>IF(A20&lt;$B$6+1,0,IF(A20=$B$6+1,1,G19*(1+IF(B20=Inputs_IAS19!$C$7,Inputs_IAS19!$C$8,Inputs_IAS19!$C$6))))</f>
        <v/>
      </c>
      <c r="H20">
        <f>$B$12*G20*F20</f>
        <v/>
      </c>
      <c r="I20">
        <f>(1+Inputs_IAS19!$C$26)^-(A20-0.5)</f>
        <v/>
      </c>
      <c r="J20">
        <f>H20*I20</f>
        <v/>
      </c>
      <c r="K20">
        <f>H20*INDEX(Curve_IAS19!$D$2:$D$101,A20)</f>
        <v/>
      </c>
      <c r="M20">
        <f>IF(A20&lt;=$B$6,1-E20/E19,0)</f>
        <v/>
      </c>
      <c r="N20">
        <f>IF(A20&lt;=$B$6,Inputs_IAS19!$C$19*IF(C20&lt;Inputs_IAS19!$C$22,MAX(0,Inputs_IAS19!$C$20-Inputs_IAS19!$C$21*(C20-35)),0),0)</f>
        <v/>
      </c>
      <c r="O20">
        <f>O19*(1-M20-N20)</f>
        <v/>
      </c>
      <c r="P20">
        <f>O19*N20</f>
        <v/>
      </c>
      <c r="Q20">
        <f>$B$8*(1+Inputs_IAS19!$C$4)^A20</f>
        <v/>
      </c>
      <c r="R20">
        <f>Inputs_IAS19!$C$9*(1+Inputs_IAS19!$C$3)^(A20-1)</f>
        <v/>
      </c>
      <c r="S20">
        <f>MIN($B$7,Inputs_IAS19!$C$12)/Inputs_IAS19!$C$11*MAX(Q20-Inputs_IAS19!$C$10*R20,0)</f>
        <v/>
      </c>
      <c r="T20">
        <f>S20*(1+Inputs_IAS19!$C$5*0.5)*(1+Inputs_IAS19!$C$5)^($B$6-A20)</f>
        <v/>
      </c>
      <c r="U20">
        <f>IF(A20&lt;=$B$6,P20*(1-M20/2)*T20/E20,0)</f>
        <v/>
      </c>
    </row>
    <row r="21">
      <c r="A21" t="n">
        <v>3</v>
      </c>
      <c r="B21">
        <f>Inputs_IAS19!$C$2+A21</f>
        <v/>
      </c>
      <c r="C21">
        <f>$B$5+A21-1</f>
        <v/>
      </c>
      <c r="D21">
        <f>IF(C21&gt;=120,1,MIN(1,IF(A21&lt;=$B$6,IF($B$4="M",Inputs_IAS19!$C$13,Inputs_IAS19!$C$14),IF($B$4="M",Inputs_IAS19!$C$15,Inputs_IAS19!$C$16))*INDEX(ILT!$B$2:$C$122,MIN(C21,120)+1,IF($B$4="M",1,2))*(1-Inputs_IAS19!$C$17)^MAX(B21-Inputs_IAS19!$C$18,0)))</f>
        <v/>
      </c>
      <c r="E21">
        <f>E20*(1-D21)</f>
        <v/>
      </c>
      <c r="F21">
        <f>(E20+E21)/2</f>
        <v/>
      </c>
      <c r="G21">
        <f>IF(A21&lt;$B$6+1,0,IF(A21=$B$6+1,1,G20*(1+IF(B21=Inputs_IAS19!$C$7,Inputs_IAS19!$C$8,Inputs_IAS19!$C$6))))</f>
        <v/>
      </c>
      <c r="H21">
        <f>$B$12*G21*F21</f>
        <v/>
      </c>
      <c r="I21">
        <f>(1+Inputs_IAS19!$C$26)^-(A21-0.5)</f>
        <v/>
      </c>
      <c r="J21">
        <f>H21*I21</f>
        <v/>
      </c>
      <c r="K21">
        <f>H21*INDEX(Curve_IAS19!$D$2:$D$101,A21)</f>
        <v/>
      </c>
      <c r="M21">
        <f>IF(A21&lt;=$B$6,1-E21/E20,0)</f>
        <v/>
      </c>
      <c r="N21">
        <f>IF(A21&lt;=$B$6,Inputs_IAS19!$C$19*IF(C21&lt;Inputs_IAS19!$C$22,MAX(0,Inputs_IAS19!$C$20-Inputs_IAS19!$C$21*(C21-35)),0),0)</f>
        <v/>
      </c>
      <c r="O21">
        <f>O20*(1-M21-N21)</f>
        <v/>
      </c>
      <c r="P21">
        <f>O20*N21</f>
        <v/>
      </c>
      <c r="Q21">
        <f>$B$8*(1+Inputs_IAS19!$C$4)^A21</f>
        <v/>
      </c>
      <c r="R21">
        <f>Inputs_IAS19!$C$9*(1+Inputs_IAS19!$C$3)^(A21-1)</f>
        <v/>
      </c>
      <c r="S21">
        <f>MIN($B$7,Inputs_IAS19!$C$12)/Inputs_IAS19!$C$11*MAX(Q21-Inputs_IAS19!$C$10*R21,0)</f>
        <v/>
      </c>
      <c r="T21">
        <f>S21*(1+Inputs_IAS19!$C$5*0.5)*(1+Inputs_IAS19!$C$5)^($B$6-A21)</f>
        <v/>
      </c>
      <c r="U21">
        <f>IF(A21&lt;=$B$6,P21*(1-M21/2)*T21/E21,0)</f>
        <v/>
      </c>
    </row>
    <row r="22">
      <c r="A22" t="n">
        <v>4</v>
      </c>
      <c r="B22">
        <f>Inputs_IAS19!$C$2+A22</f>
        <v/>
      </c>
      <c r="C22">
        <f>$B$5+A22-1</f>
        <v/>
      </c>
      <c r="D22">
        <f>IF(C22&gt;=120,1,MIN(1,IF(A22&lt;=$B$6,IF($B$4="M",Inputs_IAS19!$C$13,Inputs_IAS19!$C$14),IF($B$4="M",Inputs_IAS19!$C$15,Inputs_IAS19!$C$16))*INDEX(ILT!$B$2:$C$122,MIN(C22,120)+1,IF($B$4="M",1,2))*(1-Inputs_IAS19!$C$17)^MAX(B22-Inputs_IAS19!$C$18,0)))</f>
        <v/>
      </c>
      <c r="E22">
        <f>E21*(1-D22)</f>
        <v/>
      </c>
      <c r="F22">
        <f>(E21+E22)/2</f>
        <v/>
      </c>
      <c r="G22">
        <f>IF(A22&lt;$B$6+1,0,IF(A22=$B$6+1,1,G21*(1+IF(B22=Inputs_IAS19!$C$7,Inputs_IAS19!$C$8,Inputs_IAS19!$C$6))))</f>
        <v/>
      </c>
      <c r="H22">
        <f>$B$12*G22*F22</f>
        <v/>
      </c>
      <c r="I22">
        <f>(1+Inputs_IAS19!$C$26)^-(A22-0.5)</f>
        <v/>
      </c>
      <c r="J22">
        <f>H22*I22</f>
        <v/>
      </c>
      <c r="K22">
        <f>H22*INDEX(Curve_IAS19!$D$2:$D$101,A22)</f>
        <v/>
      </c>
      <c r="M22">
        <f>IF(A22&lt;=$B$6,1-E22/E21,0)</f>
        <v/>
      </c>
      <c r="N22">
        <f>IF(A22&lt;=$B$6,Inputs_IAS19!$C$19*IF(C22&lt;Inputs_IAS19!$C$22,MAX(0,Inputs_IAS19!$C$20-Inputs_IAS19!$C$21*(C22-35)),0),0)</f>
        <v/>
      </c>
      <c r="O22">
        <f>O21*(1-M22-N22)</f>
        <v/>
      </c>
      <c r="P22">
        <f>O21*N22</f>
        <v/>
      </c>
      <c r="Q22">
        <f>$B$8*(1+Inputs_IAS19!$C$4)^A22</f>
        <v/>
      </c>
      <c r="R22">
        <f>Inputs_IAS19!$C$9*(1+Inputs_IAS19!$C$3)^(A22-1)</f>
        <v/>
      </c>
      <c r="S22">
        <f>MIN($B$7,Inputs_IAS19!$C$12)/Inputs_IAS19!$C$11*MAX(Q22-Inputs_IAS19!$C$10*R22,0)</f>
        <v/>
      </c>
      <c r="T22">
        <f>S22*(1+Inputs_IAS19!$C$5*0.5)*(1+Inputs_IAS19!$C$5)^($B$6-A22)</f>
        <v/>
      </c>
      <c r="U22">
        <f>IF(A22&lt;=$B$6,P22*(1-M22/2)*T22/E22,0)</f>
        <v/>
      </c>
    </row>
    <row r="23">
      <c r="A23" t="n">
        <v>5</v>
      </c>
      <c r="B23">
        <f>Inputs_IAS19!$C$2+A23</f>
        <v/>
      </c>
      <c r="C23">
        <f>$B$5+A23-1</f>
        <v/>
      </c>
      <c r="D23">
        <f>IF(C23&gt;=120,1,MIN(1,IF(A23&lt;=$B$6,IF($B$4="M",Inputs_IAS19!$C$13,Inputs_IAS19!$C$14),IF($B$4="M",Inputs_IAS19!$C$15,Inputs_IAS19!$C$16))*INDEX(ILT!$B$2:$C$122,MIN(C23,120)+1,IF($B$4="M",1,2))*(1-Inputs_IAS19!$C$17)^MAX(B23-Inputs_IAS19!$C$18,0)))</f>
        <v/>
      </c>
      <c r="E23">
        <f>E22*(1-D23)</f>
        <v/>
      </c>
      <c r="F23">
        <f>(E22+E23)/2</f>
        <v/>
      </c>
      <c r="G23">
        <f>IF(A23&lt;$B$6+1,0,IF(A23=$B$6+1,1,G22*(1+IF(B23=Inputs_IAS19!$C$7,Inputs_IAS19!$C$8,Inputs_IAS19!$C$6))))</f>
        <v/>
      </c>
      <c r="H23">
        <f>$B$12*G23*F23</f>
        <v/>
      </c>
      <c r="I23">
        <f>(1+Inputs_IAS19!$C$26)^-(A23-0.5)</f>
        <v/>
      </c>
      <c r="J23">
        <f>H23*I23</f>
        <v/>
      </c>
      <c r="K23">
        <f>H23*INDEX(Curve_IAS19!$D$2:$D$101,A23)</f>
        <v/>
      </c>
      <c r="M23">
        <f>IF(A23&lt;=$B$6,1-E23/E22,0)</f>
        <v/>
      </c>
      <c r="N23">
        <f>IF(A23&lt;=$B$6,Inputs_IAS19!$C$19*IF(C23&lt;Inputs_IAS19!$C$22,MAX(0,Inputs_IAS19!$C$20-Inputs_IAS19!$C$21*(C23-35)),0),0)</f>
        <v/>
      </c>
      <c r="O23">
        <f>O22*(1-M23-N23)</f>
        <v/>
      </c>
      <c r="P23">
        <f>O22*N23</f>
        <v/>
      </c>
      <c r="Q23">
        <f>$B$8*(1+Inputs_IAS19!$C$4)^A23</f>
        <v/>
      </c>
      <c r="R23">
        <f>Inputs_IAS19!$C$9*(1+Inputs_IAS19!$C$3)^(A23-1)</f>
        <v/>
      </c>
      <c r="S23">
        <f>MIN($B$7,Inputs_IAS19!$C$12)/Inputs_IAS19!$C$11*MAX(Q23-Inputs_IAS19!$C$10*R23,0)</f>
        <v/>
      </c>
      <c r="T23">
        <f>S23*(1+Inputs_IAS19!$C$5*0.5)*(1+Inputs_IAS19!$C$5)^($B$6-A23)</f>
        <v/>
      </c>
      <c r="U23">
        <f>IF(A23&lt;=$B$6,P23*(1-M23/2)*T23/E23,0)</f>
        <v/>
      </c>
    </row>
    <row r="24">
      <c r="A24" t="n">
        <v>6</v>
      </c>
      <c r="B24">
        <f>Inputs_IAS19!$C$2+A24</f>
        <v/>
      </c>
      <c r="C24">
        <f>$B$5+A24-1</f>
        <v/>
      </c>
      <c r="D24">
        <f>IF(C24&gt;=120,1,MIN(1,IF(A24&lt;=$B$6,IF($B$4="M",Inputs_IAS19!$C$13,Inputs_IAS19!$C$14),IF($B$4="M",Inputs_IAS19!$C$15,Inputs_IAS19!$C$16))*INDEX(ILT!$B$2:$C$122,MIN(C24,120)+1,IF($B$4="M",1,2))*(1-Inputs_IAS19!$C$17)^MAX(B24-Inputs_IAS19!$C$18,0)))</f>
        <v/>
      </c>
      <c r="E24">
        <f>E23*(1-D24)</f>
        <v/>
      </c>
      <c r="F24">
        <f>(E23+E24)/2</f>
        <v/>
      </c>
      <c r="G24">
        <f>IF(A24&lt;$B$6+1,0,IF(A24=$B$6+1,1,G23*(1+IF(B24=Inputs_IAS19!$C$7,Inputs_IAS19!$C$8,Inputs_IAS19!$C$6))))</f>
        <v/>
      </c>
      <c r="H24">
        <f>$B$12*G24*F24</f>
        <v/>
      </c>
      <c r="I24">
        <f>(1+Inputs_IAS19!$C$26)^-(A24-0.5)</f>
        <v/>
      </c>
      <c r="J24">
        <f>H24*I24</f>
        <v/>
      </c>
      <c r="K24">
        <f>H24*INDEX(Curve_IAS19!$D$2:$D$101,A24)</f>
        <v/>
      </c>
      <c r="M24">
        <f>IF(A24&lt;=$B$6,1-E24/E23,0)</f>
        <v/>
      </c>
      <c r="N24">
        <f>IF(A24&lt;=$B$6,Inputs_IAS19!$C$19*IF(C24&lt;Inputs_IAS19!$C$22,MAX(0,Inputs_IAS19!$C$20-Inputs_IAS19!$C$21*(C24-35)),0),0)</f>
        <v/>
      </c>
      <c r="O24">
        <f>O23*(1-M24-N24)</f>
        <v/>
      </c>
      <c r="P24">
        <f>O23*N24</f>
        <v/>
      </c>
      <c r="Q24">
        <f>$B$8*(1+Inputs_IAS19!$C$4)^A24</f>
        <v/>
      </c>
      <c r="R24">
        <f>Inputs_IAS19!$C$9*(1+Inputs_IAS19!$C$3)^(A24-1)</f>
        <v/>
      </c>
      <c r="S24">
        <f>MIN($B$7,Inputs_IAS19!$C$12)/Inputs_IAS19!$C$11*MAX(Q24-Inputs_IAS19!$C$10*R24,0)</f>
        <v/>
      </c>
      <c r="T24">
        <f>S24*(1+Inputs_IAS19!$C$5*0.5)*(1+Inputs_IAS19!$C$5)^($B$6-A24)</f>
        <v/>
      </c>
      <c r="U24">
        <f>IF(A24&lt;=$B$6,P24*(1-M24/2)*T24/E24,0)</f>
        <v/>
      </c>
    </row>
    <row r="25">
      <c r="A25" t="n">
        <v>7</v>
      </c>
      <c r="B25">
        <f>Inputs_IAS19!$C$2+A25</f>
        <v/>
      </c>
      <c r="C25">
        <f>$B$5+A25-1</f>
        <v/>
      </c>
      <c r="D25">
        <f>IF(C25&gt;=120,1,MIN(1,IF(A25&lt;=$B$6,IF($B$4="M",Inputs_IAS19!$C$13,Inputs_IAS19!$C$14),IF($B$4="M",Inputs_IAS19!$C$15,Inputs_IAS19!$C$16))*INDEX(ILT!$B$2:$C$122,MIN(C25,120)+1,IF($B$4="M",1,2))*(1-Inputs_IAS19!$C$17)^MAX(B25-Inputs_IAS19!$C$18,0)))</f>
        <v/>
      </c>
      <c r="E25">
        <f>E24*(1-D25)</f>
        <v/>
      </c>
      <c r="F25">
        <f>(E24+E25)/2</f>
        <v/>
      </c>
      <c r="G25">
        <f>IF(A25&lt;$B$6+1,0,IF(A25=$B$6+1,1,G24*(1+IF(B25=Inputs_IAS19!$C$7,Inputs_IAS19!$C$8,Inputs_IAS19!$C$6))))</f>
        <v/>
      </c>
      <c r="H25">
        <f>$B$12*G25*F25</f>
        <v/>
      </c>
      <c r="I25">
        <f>(1+Inputs_IAS19!$C$26)^-(A25-0.5)</f>
        <v/>
      </c>
      <c r="J25">
        <f>H25*I25</f>
        <v/>
      </c>
      <c r="K25">
        <f>H25*INDEX(Curve_IAS19!$D$2:$D$101,A25)</f>
        <v/>
      </c>
      <c r="M25">
        <f>IF(A25&lt;=$B$6,1-E25/E24,0)</f>
        <v/>
      </c>
      <c r="N25">
        <f>IF(A25&lt;=$B$6,Inputs_IAS19!$C$19*IF(C25&lt;Inputs_IAS19!$C$22,MAX(0,Inputs_IAS19!$C$20-Inputs_IAS19!$C$21*(C25-35)),0),0)</f>
        <v/>
      </c>
      <c r="O25">
        <f>O24*(1-M25-N25)</f>
        <v/>
      </c>
      <c r="P25">
        <f>O24*N25</f>
        <v/>
      </c>
      <c r="Q25">
        <f>$B$8*(1+Inputs_IAS19!$C$4)^A25</f>
        <v/>
      </c>
      <c r="R25">
        <f>Inputs_IAS19!$C$9*(1+Inputs_IAS19!$C$3)^(A25-1)</f>
        <v/>
      </c>
      <c r="S25">
        <f>MIN($B$7,Inputs_IAS19!$C$12)/Inputs_IAS19!$C$11*MAX(Q25-Inputs_IAS19!$C$10*R25,0)</f>
        <v/>
      </c>
      <c r="T25">
        <f>S25*(1+Inputs_IAS19!$C$5*0.5)*(1+Inputs_IAS19!$C$5)^($B$6-A25)</f>
        <v/>
      </c>
      <c r="U25">
        <f>IF(A25&lt;=$B$6,P25*(1-M25/2)*T25/E25,0)</f>
        <v/>
      </c>
    </row>
    <row r="26">
      <c r="A26" t="n">
        <v>8</v>
      </c>
      <c r="B26">
        <f>Inputs_IAS19!$C$2+A26</f>
        <v/>
      </c>
      <c r="C26">
        <f>$B$5+A26-1</f>
        <v/>
      </c>
      <c r="D26">
        <f>IF(C26&gt;=120,1,MIN(1,IF(A26&lt;=$B$6,IF($B$4="M",Inputs_IAS19!$C$13,Inputs_IAS19!$C$14),IF($B$4="M",Inputs_IAS19!$C$15,Inputs_IAS19!$C$16))*INDEX(ILT!$B$2:$C$122,MIN(C26,120)+1,IF($B$4="M",1,2))*(1-Inputs_IAS19!$C$17)^MAX(B26-Inputs_IAS19!$C$18,0)))</f>
        <v/>
      </c>
      <c r="E26">
        <f>E25*(1-D26)</f>
        <v/>
      </c>
      <c r="F26">
        <f>(E25+E26)/2</f>
        <v/>
      </c>
      <c r="G26">
        <f>IF(A26&lt;$B$6+1,0,IF(A26=$B$6+1,1,G25*(1+IF(B26=Inputs_IAS19!$C$7,Inputs_IAS19!$C$8,Inputs_IAS19!$C$6))))</f>
        <v/>
      </c>
      <c r="H26">
        <f>$B$12*G26*F26</f>
        <v/>
      </c>
      <c r="I26">
        <f>(1+Inputs_IAS19!$C$26)^-(A26-0.5)</f>
        <v/>
      </c>
      <c r="J26">
        <f>H26*I26</f>
        <v/>
      </c>
      <c r="K26">
        <f>H26*INDEX(Curve_IAS19!$D$2:$D$101,A26)</f>
        <v/>
      </c>
      <c r="M26">
        <f>IF(A26&lt;=$B$6,1-E26/E25,0)</f>
        <v/>
      </c>
      <c r="N26">
        <f>IF(A26&lt;=$B$6,Inputs_IAS19!$C$19*IF(C26&lt;Inputs_IAS19!$C$22,MAX(0,Inputs_IAS19!$C$20-Inputs_IAS19!$C$21*(C26-35)),0),0)</f>
        <v/>
      </c>
      <c r="O26">
        <f>O25*(1-M26-N26)</f>
        <v/>
      </c>
      <c r="P26">
        <f>O25*N26</f>
        <v/>
      </c>
      <c r="Q26">
        <f>$B$8*(1+Inputs_IAS19!$C$4)^A26</f>
        <v/>
      </c>
      <c r="R26">
        <f>Inputs_IAS19!$C$9*(1+Inputs_IAS19!$C$3)^(A26-1)</f>
        <v/>
      </c>
      <c r="S26">
        <f>MIN($B$7,Inputs_IAS19!$C$12)/Inputs_IAS19!$C$11*MAX(Q26-Inputs_IAS19!$C$10*R26,0)</f>
        <v/>
      </c>
      <c r="T26">
        <f>S26*(1+Inputs_IAS19!$C$5*0.5)*(1+Inputs_IAS19!$C$5)^($B$6-A26)</f>
        <v/>
      </c>
      <c r="U26">
        <f>IF(A26&lt;=$B$6,P26*(1-M26/2)*T26/E26,0)</f>
        <v/>
      </c>
    </row>
    <row r="27">
      <c r="A27" t="n">
        <v>9</v>
      </c>
      <c r="B27">
        <f>Inputs_IAS19!$C$2+A27</f>
        <v/>
      </c>
      <c r="C27">
        <f>$B$5+A27-1</f>
        <v/>
      </c>
      <c r="D27">
        <f>IF(C27&gt;=120,1,MIN(1,IF(A27&lt;=$B$6,IF($B$4="M",Inputs_IAS19!$C$13,Inputs_IAS19!$C$14),IF($B$4="M",Inputs_IAS19!$C$15,Inputs_IAS19!$C$16))*INDEX(ILT!$B$2:$C$122,MIN(C27,120)+1,IF($B$4="M",1,2))*(1-Inputs_IAS19!$C$17)^MAX(B27-Inputs_IAS19!$C$18,0)))</f>
        <v/>
      </c>
      <c r="E27">
        <f>E26*(1-D27)</f>
        <v/>
      </c>
      <c r="F27">
        <f>(E26+E27)/2</f>
        <v/>
      </c>
      <c r="G27">
        <f>IF(A27&lt;$B$6+1,0,IF(A27=$B$6+1,1,G26*(1+IF(B27=Inputs_IAS19!$C$7,Inputs_IAS19!$C$8,Inputs_IAS19!$C$6))))</f>
        <v/>
      </c>
      <c r="H27">
        <f>$B$12*G27*F27</f>
        <v/>
      </c>
      <c r="I27">
        <f>(1+Inputs_IAS19!$C$26)^-(A27-0.5)</f>
        <v/>
      </c>
      <c r="J27">
        <f>H27*I27</f>
        <v/>
      </c>
      <c r="K27">
        <f>H27*INDEX(Curve_IAS19!$D$2:$D$101,A27)</f>
        <v/>
      </c>
      <c r="M27">
        <f>IF(A27&lt;=$B$6,1-E27/E26,0)</f>
        <v/>
      </c>
      <c r="N27">
        <f>IF(A27&lt;=$B$6,Inputs_IAS19!$C$19*IF(C27&lt;Inputs_IAS19!$C$22,MAX(0,Inputs_IAS19!$C$20-Inputs_IAS19!$C$21*(C27-35)),0),0)</f>
        <v/>
      </c>
      <c r="O27">
        <f>O26*(1-M27-N27)</f>
        <v/>
      </c>
      <c r="P27">
        <f>O26*N27</f>
        <v/>
      </c>
      <c r="Q27">
        <f>$B$8*(1+Inputs_IAS19!$C$4)^A27</f>
        <v/>
      </c>
      <c r="R27">
        <f>Inputs_IAS19!$C$9*(1+Inputs_IAS19!$C$3)^(A27-1)</f>
        <v/>
      </c>
      <c r="S27">
        <f>MIN($B$7,Inputs_IAS19!$C$12)/Inputs_IAS19!$C$11*MAX(Q27-Inputs_IAS19!$C$10*R27,0)</f>
        <v/>
      </c>
      <c r="T27">
        <f>S27*(1+Inputs_IAS19!$C$5*0.5)*(1+Inputs_IAS19!$C$5)^($B$6-A27)</f>
        <v/>
      </c>
      <c r="U27">
        <f>IF(A27&lt;=$B$6,P27*(1-M27/2)*T27/E27,0)</f>
        <v/>
      </c>
    </row>
    <row r="28">
      <c r="A28" t="n">
        <v>10</v>
      </c>
      <c r="B28">
        <f>Inputs_IAS19!$C$2+A28</f>
        <v/>
      </c>
      <c r="C28">
        <f>$B$5+A28-1</f>
        <v/>
      </c>
      <c r="D28">
        <f>IF(C28&gt;=120,1,MIN(1,IF(A28&lt;=$B$6,IF($B$4="M",Inputs_IAS19!$C$13,Inputs_IAS19!$C$14),IF($B$4="M",Inputs_IAS19!$C$15,Inputs_IAS19!$C$16))*INDEX(ILT!$B$2:$C$122,MIN(C28,120)+1,IF($B$4="M",1,2))*(1-Inputs_IAS19!$C$17)^MAX(B28-Inputs_IAS19!$C$18,0)))</f>
        <v/>
      </c>
      <c r="E28">
        <f>E27*(1-D28)</f>
        <v/>
      </c>
      <c r="F28">
        <f>(E27+E28)/2</f>
        <v/>
      </c>
      <c r="G28">
        <f>IF(A28&lt;$B$6+1,0,IF(A28=$B$6+1,1,G27*(1+IF(B28=Inputs_IAS19!$C$7,Inputs_IAS19!$C$8,Inputs_IAS19!$C$6))))</f>
        <v/>
      </c>
      <c r="H28">
        <f>$B$12*G28*F28</f>
        <v/>
      </c>
      <c r="I28">
        <f>(1+Inputs_IAS19!$C$26)^-(A28-0.5)</f>
        <v/>
      </c>
      <c r="J28">
        <f>H28*I28</f>
        <v/>
      </c>
      <c r="K28">
        <f>H28*INDEX(Curve_IAS19!$D$2:$D$101,A28)</f>
        <v/>
      </c>
      <c r="M28">
        <f>IF(A28&lt;=$B$6,1-E28/E27,0)</f>
        <v/>
      </c>
      <c r="N28">
        <f>IF(A28&lt;=$B$6,Inputs_IAS19!$C$19*IF(C28&lt;Inputs_IAS19!$C$22,MAX(0,Inputs_IAS19!$C$20-Inputs_IAS19!$C$21*(C28-35)),0),0)</f>
        <v/>
      </c>
      <c r="O28">
        <f>O27*(1-M28-N28)</f>
        <v/>
      </c>
      <c r="P28">
        <f>O27*N28</f>
        <v/>
      </c>
      <c r="Q28">
        <f>$B$8*(1+Inputs_IAS19!$C$4)^A28</f>
        <v/>
      </c>
      <c r="R28">
        <f>Inputs_IAS19!$C$9*(1+Inputs_IAS19!$C$3)^(A28-1)</f>
        <v/>
      </c>
      <c r="S28">
        <f>MIN($B$7,Inputs_IAS19!$C$12)/Inputs_IAS19!$C$11*MAX(Q28-Inputs_IAS19!$C$10*R28,0)</f>
        <v/>
      </c>
      <c r="T28">
        <f>S28*(1+Inputs_IAS19!$C$5*0.5)*(1+Inputs_IAS19!$C$5)^($B$6-A28)</f>
        <v/>
      </c>
      <c r="U28">
        <f>IF(A28&lt;=$B$6,P28*(1-M28/2)*T28/E28,0)</f>
        <v/>
      </c>
    </row>
    <row r="29">
      <c r="A29" t="n">
        <v>11</v>
      </c>
      <c r="B29">
        <f>Inputs_IAS19!$C$2+A29</f>
        <v/>
      </c>
      <c r="C29">
        <f>$B$5+A29-1</f>
        <v/>
      </c>
      <c r="D29">
        <f>IF(C29&gt;=120,1,MIN(1,IF(A29&lt;=$B$6,IF($B$4="M",Inputs_IAS19!$C$13,Inputs_IAS19!$C$14),IF($B$4="M",Inputs_IAS19!$C$15,Inputs_IAS19!$C$16))*INDEX(ILT!$B$2:$C$122,MIN(C29,120)+1,IF($B$4="M",1,2))*(1-Inputs_IAS19!$C$17)^MAX(B29-Inputs_IAS19!$C$18,0)))</f>
        <v/>
      </c>
      <c r="E29">
        <f>E28*(1-D29)</f>
        <v/>
      </c>
      <c r="F29">
        <f>(E28+E29)/2</f>
        <v/>
      </c>
      <c r="G29">
        <f>IF(A29&lt;$B$6+1,0,IF(A29=$B$6+1,1,G28*(1+IF(B29=Inputs_IAS19!$C$7,Inputs_IAS19!$C$8,Inputs_IAS19!$C$6))))</f>
        <v/>
      </c>
      <c r="H29">
        <f>$B$12*G29*F29</f>
        <v/>
      </c>
      <c r="I29">
        <f>(1+Inputs_IAS19!$C$26)^-(A29-0.5)</f>
        <v/>
      </c>
      <c r="J29">
        <f>H29*I29</f>
        <v/>
      </c>
      <c r="K29">
        <f>H29*INDEX(Curve_IAS19!$D$2:$D$101,A29)</f>
        <v/>
      </c>
      <c r="M29">
        <f>IF(A29&lt;=$B$6,1-E29/E28,0)</f>
        <v/>
      </c>
      <c r="N29">
        <f>IF(A29&lt;=$B$6,Inputs_IAS19!$C$19*IF(C29&lt;Inputs_IAS19!$C$22,MAX(0,Inputs_IAS19!$C$20-Inputs_IAS19!$C$21*(C29-35)),0),0)</f>
        <v/>
      </c>
      <c r="O29">
        <f>O28*(1-M29-N29)</f>
        <v/>
      </c>
      <c r="P29">
        <f>O28*N29</f>
        <v/>
      </c>
      <c r="Q29">
        <f>$B$8*(1+Inputs_IAS19!$C$4)^A29</f>
        <v/>
      </c>
      <c r="R29">
        <f>Inputs_IAS19!$C$9*(1+Inputs_IAS19!$C$3)^(A29-1)</f>
        <v/>
      </c>
      <c r="S29">
        <f>MIN($B$7,Inputs_IAS19!$C$12)/Inputs_IAS19!$C$11*MAX(Q29-Inputs_IAS19!$C$10*R29,0)</f>
        <v/>
      </c>
      <c r="T29">
        <f>S29*(1+Inputs_IAS19!$C$5*0.5)*(1+Inputs_IAS19!$C$5)^($B$6-A29)</f>
        <v/>
      </c>
      <c r="U29">
        <f>IF(A29&lt;=$B$6,P29*(1-M29/2)*T29/E29,0)</f>
        <v/>
      </c>
    </row>
    <row r="30">
      <c r="A30" t="n">
        <v>12</v>
      </c>
      <c r="B30">
        <f>Inputs_IAS19!$C$2+A30</f>
        <v/>
      </c>
      <c r="C30">
        <f>$B$5+A30-1</f>
        <v/>
      </c>
      <c r="D30">
        <f>IF(C30&gt;=120,1,MIN(1,IF(A30&lt;=$B$6,IF($B$4="M",Inputs_IAS19!$C$13,Inputs_IAS19!$C$14),IF($B$4="M",Inputs_IAS19!$C$15,Inputs_IAS19!$C$16))*INDEX(ILT!$B$2:$C$122,MIN(C30,120)+1,IF($B$4="M",1,2))*(1-Inputs_IAS19!$C$17)^MAX(B30-Inputs_IAS19!$C$18,0)))</f>
        <v/>
      </c>
      <c r="E30">
        <f>E29*(1-D30)</f>
        <v/>
      </c>
      <c r="F30">
        <f>(E29+E30)/2</f>
        <v/>
      </c>
      <c r="G30">
        <f>IF(A30&lt;$B$6+1,0,IF(A30=$B$6+1,1,G29*(1+IF(B30=Inputs_IAS19!$C$7,Inputs_IAS19!$C$8,Inputs_IAS19!$C$6))))</f>
        <v/>
      </c>
      <c r="H30">
        <f>$B$12*G30*F30</f>
        <v/>
      </c>
      <c r="I30">
        <f>(1+Inputs_IAS19!$C$26)^-(A30-0.5)</f>
        <v/>
      </c>
      <c r="J30">
        <f>H30*I30</f>
        <v/>
      </c>
      <c r="K30">
        <f>H30*INDEX(Curve_IAS19!$D$2:$D$101,A30)</f>
        <v/>
      </c>
      <c r="M30">
        <f>IF(A30&lt;=$B$6,1-E30/E29,0)</f>
        <v/>
      </c>
      <c r="N30">
        <f>IF(A30&lt;=$B$6,Inputs_IAS19!$C$19*IF(C30&lt;Inputs_IAS19!$C$22,MAX(0,Inputs_IAS19!$C$20-Inputs_IAS19!$C$21*(C30-35)),0),0)</f>
        <v/>
      </c>
      <c r="O30">
        <f>O29*(1-M30-N30)</f>
        <v/>
      </c>
      <c r="P30">
        <f>O29*N30</f>
        <v/>
      </c>
      <c r="Q30">
        <f>$B$8*(1+Inputs_IAS19!$C$4)^A30</f>
        <v/>
      </c>
      <c r="R30">
        <f>Inputs_IAS19!$C$9*(1+Inputs_IAS19!$C$3)^(A30-1)</f>
        <v/>
      </c>
      <c r="S30">
        <f>MIN($B$7,Inputs_IAS19!$C$12)/Inputs_IAS19!$C$11*MAX(Q30-Inputs_IAS19!$C$10*R30,0)</f>
        <v/>
      </c>
      <c r="T30">
        <f>S30*(1+Inputs_IAS19!$C$5*0.5)*(1+Inputs_IAS19!$C$5)^($B$6-A30)</f>
        <v/>
      </c>
      <c r="U30">
        <f>IF(A30&lt;=$B$6,P30*(1-M30/2)*T30/E30,0)</f>
        <v/>
      </c>
    </row>
    <row r="31">
      <c r="A31" t="n">
        <v>13</v>
      </c>
      <c r="B31">
        <f>Inputs_IAS19!$C$2+A31</f>
        <v/>
      </c>
      <c r="C31">
        <f>$B$5+A31-1</f>
        <v/>
      </c>
      <c r="D31">
        <f>IF(C31&gt;=120,1,MIN(1,IF(A31&lt;=$B$6,IF($B$4="M",Inputs_IAS19!$C$13,Inputs_IAS19!$C$14),IF($B$4="M",Inputs_IAS19!$C$15,Inputs_IAS19!$C$16))*INDEX(ILT!$B$2:$C$122,MIN(C31,120)+1,IF($B$4="M",1,2))*(1-Inputs_IAS19!$C$17)^MAX(B31-Inputs_IAS19!$C$18,0)))</f>
        <v/>
      </c>
      <c r="E31">
        <f>E30*(1-D31)</f>
        <v/>
      </c>
      <c r="F31">
        <f>(E30+E31)/2</f>
        <v/>
      </c>
      <c r="G31">
        <f>IF(A31&lt;$B$6+1,0,IF(A31=$B$6+1,1,G30*(1+IF(B31=Inputs_IAS19!$C$7,Inputs_IAS19!$C$8,Inputs_IAS19!$C$6))))</f>
        <v/>
      </c>
      <c r="H31">
        <f>$B$12*G31*F31</f>
        <v/>
      </c>
      <c r="I31">
        <f>(1+Inputs_IAS19!$C$26)^-(A31-0.5)</f>
        <v/>
      </c>
      <c r="J31">
        <f>H31*I31</f>
        <v/>
      </c>
      <c r="K31">
        <f>H31*INDEX(Curve_IAS19!$D$2:$D$101,A31)</f>
        <v/>
      </c>
      <c r="M31">
        <f>IF(A31&lt;=$B$6,1-E31/E30,0)</f>
        <v/>
      </c>
      <c r="N31">
        <f>IF(A31&lt;=$B$6,Inputs_IAS19!$C$19*IF(C31&lt;Inputs_IAS19!$C$22,MAX(0,Inputs_IAS19!$C$20-Inputs_IAS19!$C$21*(C31-35)),0),0)</f>
        <v/>
      </c>
      <c r="O31">
        <f>O30*(1-M31-N31)</f>
        <v/>
      </c>
      <c r="P31">
        <f>O30*N31</f>
        <v/>
      </c>
      <c r="Q31">
        <f>$B$8*(1+Inputs_IAS19!$C$4)^A31</f>
        <v/>
      </c>
      <c r="R31">
        <f>Inputs_IAS19!$C$9*(1+Inputs_IAS19!$C$3)^(A31-1)</f>
        <v/>
      </c>
      <c r="S31">
        <f>MIN($B$7,Inputs_IAS19!$C$12)/Inputs_IAS19!$C$11*MAX(Q31-Inputs_IAS19!$C$10*R31,0)</f>
        <v/>
      </c>
      <c r="T31">
        <f>S31*(1+Inputs_IAS19!$C$5*0.5)*(1+Inputs_IAS19!$C$5)^($B$6-A31)</f>
        <v/>
      </c>
      <c r="U31">
        <f>IF(A31&lt;=$B$6,P31*(1-M31/2)*T31/E31,0)</f>
        <v/>
      </c>
    </row>
    <row r="32">
      <c r="A32" t="n">
        <v>14</v>
      </c>
      <c r="B32">
        <f>Inputs_IAS19!$C$2+A32</f>
        <v/>
      </c>
      <c r="C32">
        <f>$B$5+A32-1</f>
        <v/>
      </c>
      <c r="D32">
        <f>IF(C32&gt;=120,1,MIN(1,IF(A32&lt;=$B$6,IF($B$4="M",Inputs_IAS19!$C$13,Inputs_IAS19!$C$14),IF($B$4="M",Inputs_IAS19!$C$15,Inputs_IAS19!$C$16))*INDEX(ILT!$B$2:$C$122,MIN(C32,120)+1,IF($B$4="M",1,2))*(1-Inputs_IAS19!$C$17)^MAX(B32-Inputs_IAS19!$C$18,0)))</f>
        <v/>
      </c>
      <c r="E32">
        <f>E31*(1-D32)</f>
        <v/>
      </c>
      <c r="F32">
        <f>(E31+E32)/2</f>
        <v/>
      </c>
      <c r="G32">
        <f>IF(A32&lt;$B$6+1,0,IF(A32=$B$6+1,1,G31*(1+IF(B32=Inputs_IAS19!$C$7,Inputs_IAS19!$C$8,Inputs_IAS19!$C$6))))</f>
        <v/>
      </c>
      <c r="H32">
        <f>$B$12*G32*F32</f>
        <v/>
      </c>
      <c r="I32">
        <f>(1+Inputs_IAS19!$C$26)^-(A32-0.5)</f>
        <v/>
      </c>
      <c r="J32">
        <f>H32*I32</f>
        <v/>
      </c>
      <c r="K32">
        <f>H32*INDEX(Curve_IAS19!$D$2:$D$101,A32)</f>
        <v/>
      </c>
      <c r="M32">
        <f>IF(A32&lt;=$B$6,1-E32/E31,0)</f>
        <v/>
      </c>
      <c r="N32">
        <f>IF(A32&lt;=$B$6,Inputs_IAS19!$C$19*IF(C32&lt;Inputs_IAS19!$C$22,MAX(0,Inputs_IAS19!$C$20-Inputs_IAS19!$C$21*(C32-35)),0),0)</f>
        <v/>
      </c>
      <c r="O32">
        <f>O31*(1-M32-N32)</f>
        <v/>
      </c>
      <c r="P32">
        <f>O31*N32</f>
        <v/>
      </c>
      <c r="Q32">
        <f>$B$8*(1+Inputs_IAS19!$C$4)^A32</f>
        <v/>
      </c>
      <c r="R32">
        <f>Inputs_IAS19!$C$9*(1+Inputs_IAS19!$C$3)^(A32-1)</f>
        <v/>
      </c>
      <c r="S32">
        <f>MIN($B$7,Inputs_IAS19!$C$12)/Inputs_IAS19!$C$11*MAX(Q32-Inputs_IAS19!$C$10*R32,0)</f>
        <v/>
      </c>
      <c r="T32">
        <f>S32*(1+Inputs_IAS19!$C$5*0.5)*(1+Inputs_IAS19!$C$5)^($B$6-A32)</f>
        <v/>
      </c>
      <c r="U32">
        <f>IF(A32&lt;=$B$6,P32*(1-M32/2)*T32/E32,0)</f>
        <v/>
      </c>
    </row>
    <row r="33">
      <c r="A33" t="n">
        <v>15</v>
      </c>
      <c r="B33">
        <f>Inputs_IAS19!$C$2+A33</f>
        <v/>
      </c>
      <c r="C33">
        <f>$B$5+A33-1</f>
        <v/>
      </c>
      <c r="D33">
        <f>IF(C33&gt;=120,1,MIN(1,IF(A33&lt;=$B$6,IF($B$4="M",Inputs_IAS19!$C$13,Inputs_IAS19!$C$14),IF($B$4="M",Inputs_IAS19!$C$15,Inputs_IAS19!$C$16))*INDEX(ILT!$B$2:$C$122,MIN(C33,120)+1,IF($B$4="M",1,2))*(1-Inputs_IAS19!$C$17)^MAX(B33-Inputs_IAS19!$C$18,0)))</f>
        <v/>
      </c>
      <c r="E33">
        <f>E32*(1-D33)</f>
        <v/>
      </c>
      <c r="F33">
        <f>(E32+E33)/2</f>
        <v/>
      </c>
      <c r="G33">
        <f>IF(A33&lt;$B$6+1,0,IF(A33=$B$6+1,1,G32*(1+IF(B33=Inputs_IAS19!$C$7,Inputs_IAS19!$C$8,Inputs_IAS19!$C$6))))</f>
        <v/>
      </c>
      <c r="H33">
        <f>$B$12*G33*F33</f>
        <v/>
      </c>
      <c r="I33">
        <f>(1+Inputs_IAS19!$C$26)^-(A33-0.5)</f>
        <v/>
      </c>
      <c r="J33">
        <f>H33*I33</f>
        <v/>
      </c>
      <c r="K33">
        <f>H33*INDEX(Curve_IAS19!$D$2:$D$101,A33)</f>
        <v/>
      </c>
      <c r="M33">
        <f>IF(A33&lt;=$B$6,1-E33/E32,0)</f>
        <v/>
      </c>
      <c r="N33">
        <f>IF(A33&lt;=$B$6,Inputs_IAS19!$C$19*IF(C33&lt;Inputs_IAS19!$C$22,MAX(0,Inputs_IAS19!$C$20-Inputs_IAS19!$C$21*(C33-35)),0),0)</f>
        <v/>
      </c>
      <c r="O33">
        <f>O32*(1-M33-N33)</f>
        <v/>
      </c>
      <c r="P33">
        <f>O32*N33</f>
        <v/>
      </c>
      <c r="Q33">
        <f>$B$8*(1+Inputs_IAS19!$C$4)^A33</f>
        <v/>
      </c>
      <c r="R33">
        <f>Inputs_IAS19!$C$9*(1+Inputs_IAS19!$C$3)^(A33-1)</f>
        <v/>
      </c>
      <c r="S33">
        <f>MIN($B$7,Inputs_IAS19!$C$12)/Inputs_IAS19!$C$11*MAX(Q33-Inputs_IAS19!$C$10*R33,0)</f>
        <v/>
      </c>
      <c r="T33">
        <f>S33*(1+Inputs_IAS19!$C$5*0.5)*(1+Inputs_IAS19!$C$5)^($B$6-A33)</f>
        <v/>
      </c>
      <c r="U33">
        <f>IF(A33&lt;=$B$6,P33*(1-M33/2)*T33/E33,0)</f>
        <v/>
      </c>
    </row>
    <row r="34">
      <c r="A34" t="n">
        <v>16</v>
      </c>
      <c r="B34">
        <f>Inputs_IAS19!$C$2+A34</f>
        <v/>
      </c>
      <c r="C34">
        <f>$B$5+A34-1</f>
        <v/>
      </c>
      <c r="D34">
        <f>IF(C34&gt;=120,1,MIN(1,IF(A34&lt;=$B$6,IF($B$4="M",Inputs_IAS19!$C$13,Inputs_IAS19!$C$14),IF($B$4="M",Inputs_IAS19!$C$15,Inputs_IAS19!$C$16))*INDEX(ILT!$B$2:$C$122,MIN(C34,120)+1,IF($B$4="M",1,2))*(1-Inputs_IAS19!$C$17)^MAX(B34-Inputs_IAS19!$C$18,0)))</f>
        <v/>
      </c>
      <c r="E34">
        <f>E33*(1-D34)</f>
        <v/>
      </c>
      <c r="F34">
        <f>(E33+E34)/2</f>
        <v/>
      </c>
      <c r="G34">
        <f>IF(A34&lt;$B$6+1,0,IF(A34=$B$6+1,1,G33*(1+IF(B34=Inputs_IAS19!$C$7,Inputs_IAS19!$C$8,Inputs_IAS19!$C$6))))</f>
        <v/>
      </c>
      <c r="H34">
        <f>$B$12*G34*F34</f>
        <v/>
      </c>
      <c r="I34">
        <f>(1+Inputs_IAS19!$C$26)^-(A34-0.5)</f>
        <v/>
      </c>
      <c r="J34">
        <f>H34*I34</f>
        <v/>
      </c>
      <c r="K34">
        <f>H34*INDEX(Curve_IAS19!$D$2:$D$101,A34)</f>
        <v/>
      </c>
      <c r="M34">
        <f>IF(A34&lt;=$B$6,1-E34/E33,0)</f>
        <v/>
      </c>
      <c r="N34">
        <f>IF(A34&lt;=$B$6,Inputs_IAS19!$C$19*IF(C34&lt;Inputs_IAS19!$C$22,MAX(0,Inputs_IAS19!$C$20-Inputs_IAS19!$C$21*(C34-35)),0),0)</f>
        <v/>
      </c>
      <c r="O34">
        <f>O33*(1-M34-N34)</f>
        <v/>
      </c>
      <c r="P34">
        <f>O33*N34</f>
        <v/>
      </c>
      <c r="Q34">
        <f>$B$8*(1+Inputs_IAS19!$C$4)^A34</f>
        <v/>
      </c>
      <c r="R34">
        <f>Inputs_IAS19!$C$9*(1+Inputs_IAS19!$C$3)^(A34-1)</f>
        <v/>
      </c>
      <c r="S34">
        <f>MIN($B$7,Inputs_IAS19!$C$12)/Inputs_IAS19!$C$11*MAX(Q34-Inputs_IAS19!$C$10*R34,0)</f>
        <v/>
      </c>
      <c r="T34">
        <f>S34*(1+Inputs_IAS19!$C$5*0.5)*(1+Inputs_IAS19!$C$5)^($B$6-A34)</f>
        <v/>
      </c>
      <c r="U34">
        <f>IF(A34&lt;=$B$6,P34*(1-M34/2)*T34/E34,0)</f>
        <v/>
      </c>
    </row>
    <row r="35">
      <c r="A35" t="n">
        <v>17</v>
      </c>
      <c r="B35">
        <f>Inputs_IAS19!$C$2+A35</f>
        <v/>
      </c>
      <c r="C35">
        <f>$B$5+A35-1</f>
        <v/>
      </c>
      <c r="D35">
        <f>IF(C35&gt;=120,1,MIN(1,IF(A35&lt;=$B$6,IF($B$4="M",Inputs_IAS19!$C$13,Inputs_IAS19!$C$14),IF($B$4="M",Inputs_IAS19!$C$15,Inputs_IAS19!$C$16))*INDEX(ILT!$B$2:$C$122,MIN(C35,120)+1,IF($B$4="M",1,2))*(1-Inputs_IAS19!$C$17)^MAX(B35-Inputs_IAS19!$C$18,0)))</f>
        <v/>
      </c>
      <c r="E35">
        <f>E34*(1-D35)</f>
        <v/>
      </c>
      <c r="F35">
        <f>(E34+E35)/2</f>
        <v/>
      </c>
      <c r="G35">
        <f>IF(A35&lt;$B$6+1,0,IF(A35=$B$6+1,1,G34*(1+IF(B35=Inputs_IAS19!$C$7,Inputs_IAS19!$C$8,Inputs_IAS19!$C$6))))</f>
        <v/>
      </c>
      <c r="H35">
        <f>$B$12*G35*F35</f>
        <v/>
      </c>
      <c r="I35">
        <f>(1+Inputs_IAS19!$C$26)^-(A35-0.5)</f>
        <v/>
      </c>
      <c r="J35">
        <f>H35*I35</f>
        <v/>
      </c>
      <c r="K35">
        <f>H35*INDEX(Curve_IAS19!$D$2:$D$101,A35)</f>
        <v/>
      </c>
      <c r="M35">
        <f>IF(A35&lt;=$B$6,1-E35/E34,0)</f>
        <v/>
      </c>
      <c r="N35">
        <f>IF(A35&lt;=$B$6,Inputs_IAS19!$C$19*IF(C35&lt;Inputs_IAS19!$C$22,MAX(0,Inputs_IAS19!$C$20-Inputs_IAS19!$C$21*(C35-35)),0),0)</f>
        <v/>
      </c>
      <c r="O35">
        <f>O34*(1-M35-N35)</f>
        <v/>
      </c>
      <c r="P35">
        <f>O34*N35</f>
        <v/>
      </c>
      <c r="Q35">
        <f>$B$8*(1+Inputs_IAS19!$C$4)^A35</f>
        <v/>
      </c>
      <c r="R35">
        <f>Inputs_IAS19!$C$9*(1+Inputs_IAS19!$C$3)^(A35-1)</f>
        <v/>
      </c>
      <c r="S35">
        <f>MIN($B$7,Inputs_IAS19!$C$12)/Inputs_IAS19!$C$11*MAX(Q35-Inputs_IAS19!$C$10*R35,0)</f>
        <v/>
      </c>
      <c r="T35">
        <f>S35*(1+Inputs_IAS19!$C$5*0.5)*(1+Inputs_IAS19!$C$5)^($B$6-A35)</f>
        <v/>
      </c>
      <c r="U35">
        <f>IF(A35&lt;=$B$6,P35*(1-M35/2)*T35/E35,0)</f>
        <v/>
      </c>
    </row>
    <row r="36">
      <c r="A36" t="n">
        <v>18</v>
      </c>
      <c r="B36">
        <f>Inputs_IAS19!$C$2+A36</f>
        <v/>
      </c>
      <c r="C36">
        <f>$B$5+A36-1</f>
        <v/>
      </c>
      <c r="D36">
        <f>IF(C36&gt;=120,1,MIN(1,IF(A36&lt;=$B$6,IF($B$4="M",Inputs_IAS19!$C$13,Inputs_IAS19!$C$14),IF($B$4="M",Inputs_IAS19!$C$15,Inputs_IAS19!$C$16))*INDEX(ILT!$B$2:$C$122,MIN(C36,120)+1,IF($B$4="M",1,2))*(1-Inputs_IAS19!$C$17)^MAX(B36-Inputs_IAS19!$C$18,0)))</f>
        <v/>
      </c>
      <c r="E36">
        <f>E35*(1-D36)</f>
        <v/>
      </c>
      <c r="F36">
        <f>(E35+E36)/2</f>
        <v/>
      </c>
      <c r="G36">
        <f>IF(A36&lt;$B$6+1,0,IF(A36=$B$6+1,1,G35*(1+IF(B36=Inputs_IAS19!$C$7,Inputs_IAS19!$C$8,Inputs_IAS19!$C$6))))</f>
        <v/>
      </c>
      <c r="H36">
        <f>$B$12*G36*F36</f>
        <v/>
      </c>
      <c r="I36">
        <f>(1+Inputs_IAS19!$C$26)^-(A36-0.5)</f>
        <v/>
      </c>
      <c r="J36">
        <f>H36*I36</f>
        <v/>
      </c>
      <c r="K36">
        <f>H36*INDEX(Curve_IAS19!$D$2:$D$101,A36)</f>
        <v/>
      </c>
      <c r="M36">
        <f>IF(A36&lt;=$B$6,1-E36/E35,0)</f>
        <v/>
      </c>
      <c r="N36">
        <f>IF(A36&lt;=$B$6,Inputs_IAS19!$C$19*IF(C36&lt;Inputs_IAS19!$C$22,MAX(0,Inputs_IAS19!$C$20-Inputs_IAS19!$C$21*(C36-35)),0),0)</f>
        <v/>
      </c>
      <c r="O36">
        <f>O35*(1-M36-N36)</f>
        <v/>
      </c>
      <c r="P36">
        <f>O35*N36</f>
        <v/>
      </c>
      <c r="Q36">
        <f>$B$8*(1+Inputs_IAS19!$C$4)^A36</f>
        <v/>
      </c>
      <c r="R36">
        <f>Inputs_IAS19!$C$9*(1+Inputs_IAS19!$C$3)^(A36-1)</f>
        <v/>
      </c>
      <c r="S36">
        <f>MIN($B$7,Inputs_IAS19!$C$12)/Inputs_IAS19!$C$11*MAX(Q36-Inputs_IAS19!$C$10*R36,0)</f>
        <v/>
      </c>
      <c r="T36">
        <f>S36*(1+Inputs_IAS19!$C$5*0.5)*(1+Inputs_IAS19!$C$5)^($B$6-A36)</f>
        <v/>
      </c>
      <c r="U36">
        <f>IF(A36&lt;=$B$6,P36*(1-M36/2)*T36/E36,0)</f>
        <v/>
      </c>
    </row>
    <row r="37">
      <c r="A37" t="n">
        <v>19</v>
      </c>
      <c r="B37">
        <f>Inputs_IAS19!$C$2+A37</f>
        <v/>
      </c>
      <c r="C37">
        <f>$B$5+A37-1</f>
        <v/>
      </c>
      <c r="D37">
        <f>IF(C37&gt;=120,1,MIN(1,IF(A37&lt;=$B$6,IF($B$4="M",Inputs_IAS19!$C$13,Inputs_IAS19!$C$14),IF($B$4="M",Inputs_IAS19!$C$15,Inputs_IAS19!$C$16))*INDEX(ILT!$B$2:$C$122,MIN(C37,120)+1,IF($B$4="M",1,2))*(1-Inputs_IAS19!$C$17)^MAX(B37-Inputs_IAS19!$C$18,0)))</f>
        <v/>
      </c>
      <c r="E37">
        <f>E36*(1-D37)</f>
        <v/>
      </c>
      <c r="F37">
        <f>(E36+E37)/2</f>
        <v/>
      </c>
      <c r="G37">
        <f>IF(A37&lt;$B$6+1,0,IF(A37=$B$6+1,1,G36*(1+IF(B37=Inputs_IAS19!$C$7,Inputs_IAS19!$C$8,Inputs_IAS19!$C$6))))</f>
        <v/>
      </c>
      <c r="H37">
        <f>$B$12*G37*F37</f>
        <v/>
      </c>
      <c r="I37">
        <f>(1+Inputs_IAS19!$C$26)^-(A37-0.5)</f>
        <v/>
      </c>
      <c r="J37">
        <f>H37*I37</f>
        <v/>
      </c>
      <c r="K37">
        <f>H37*INDEX(Curve_IAS19!$D$2:$D$101,A37)</f>
        <v/>
      </c>
      <c r="M37">
        <f>IF(A37&lt;=$B$6,1-E37/E36,0)</f>
        <v/>
      </c>
      <c r="N37">
        <f>IF(A37&lt;=$B$6,Inputs_IAS19!$C$19*IF(C37&lt;Inputs_IAS19!$C$22,MAX(0,Inputs_IAS19!$C$20-Inputs_IAS19!$C$21*(C37-35)),0),0)</f>
        <v/>
      </c>
      <c r="O37">
        <f>O36*(1-M37-N37)</f>
        <v/>
      </c>
      <c r="P37">
        <f>O36*N37</f>
        <v/>
      </c>
      <c r="Q37">
        <f>$B$8*(1+Inputs_IAS19!$C$4)^A37</f>
        <v/>
      </c>
      <c r="R37">
        <f>Inputs_IAS19!$C$9*(1+Inputs_IAS19!$C$3)^(A37-1)</f>
        <v/>
      </c>
      <c r="S37">
        <f>MIN($B$7,Inputs_IAS19!$C$12)/Inputs_IAS19!$C$11*MAX(Q37-Inputs_IAS19!$C$10*R37,0)</f>
        <v/>
      </c>
      <c r="T37">
        <f>S37*(1+Inputs_IAS19!$C$5*0.5)*(1+Inputs_IAS19!$C$5)^($B$6-A37)</f>
        <v/>
      </c>
      <c r="U37">
        <f>IF(A37&lt;=$B$6,P37*(1-M37/2)*T37/E37,0)</f>
        <v/>
      </c>
    </row>
    <row r="38">
      <c r="A38" t="n">
        <v>20</v>
      </c>
      <c r="B38">
        <f>Inputs_IAS19!$C$2+A38</f>
        <v/>
      </c>
      <c r="C38">
        <f>$B$5+A38-1</f>
        <v/>
      </c>
      <c r="D38">
        <f>IF(C38&gt;=120,1,MIN(1,IF(A38&lt;=$B$6,IF($B$4="M",Inputs_IAS19!$C$13,Inputs_IAS19!$C$14),IF($B$4="M",Inputs_IAS19!$C$15,Inputs_IAS19!$C$16))*INDEX(ILT!$B$2:$C$122,MIN(C38,120)+1,IF($B$4="M",1,2))*(1-Inputs_IAS19!$C$17)^MAX(B38-Inputs_IAS19!$C$18,0)))</f>
        <v/>
      </c>
      <c r="E38">
        <f>E37*(1-D38)</f>
        <v/>
      </c>
      <c r="F38">
        <f>(E37+E38)/2</f>
        <v/>
      </c>
      <c r="G38">
        <f>IF(A38&lt;$B$6+1,0,IF(A38=$B$6+1,1,G37*(1+IF(B38=Inputs_IAS19!$C$7,Inputs_IAS19!$C$8,Inputs_IAS19!$C$6))))</f>
        <v/>
      </c>
      <c r="H38">
        <f>$B$12*G38*F38</f>
        <v/>
      </c>
      <c r="I38">
        <f>(1+Inputs_IAS19!$C$26)^-(A38-0.5)</f>
        <v/>
      </c>
      <c r="J38">
        <f>H38*I38</f>
        <v/>
      </c>
      <c r="K38">
        <f>H38*INDEX(Curve_IAS19!$D$2:$D$101,A38)</f>
        <v/>
      </c>
      <c r="M38">
        <f>IF(A38&lt;=$B$6,1-E38/E37,0)</f>
        <v/>
      </c>
      <c r="N38">
        <f>IF(A38&lt;=$B$6,Inputs_IAS19!$C$19*IF(C38&lt;Inputs_IAS19!$C$22,MAX(0,Inputs_IAS19!$C$20-Inputs_IAS19!$C$21*(C38-35)),0),0)</f>
        <v/>
      </c>
      <c r="O38">
        <f>O37*(1-M38-N38)</f>
        <v/>
      </c>
      <c r="P38">
        <f>O37*N38</f>
        <v/>
      </c>
      <c r="Q38">
        <f>$B$8*(1+Inputs_IAS19!$C$4)^A38</f>
        <v/>
      </c>
      <c r="R38">
        <f>Inputs_IAS19!$C$9*(1+Inputs_IAS19!$C$3)^(A38-1)</f>
        <v/>
      </c>
      <c r="S38">
        <f>MIN($B$7,Inputs_IAS19!$C$12)/Inputs_IAS19!$C$11*MAX(Q38-Inputs_IAS19!$C$10*R38,0)</f>
        <v/>
      </c>
      <c r="T38">
        <f>S38*(1+Inputs_IAS19!$C$5*0.5)*(1+Inputs_IAS19!$C$5)^($B$6-A38)</f>
        <v/>
      </c>
      <c r="U38">
        <f>IF(A38&lt;=$B$6,P38*(1-M38/2)*T38/E38,0)</f>
        <v/>
      </c>
    </row>
    <row r="39">
      <c r="A39" t="n">
        <v>21</v>
      </c>
      <c r="B39">
        <f>Inputs_IAS19!$C$2+A39</f>
        <v/>
      </c>
      <c r="C39">
        <f>$B$5+A39-1</f>
        <v/>
      </c>
      <c r="D39">
        <f>IF(C39&gt;=120,1,MIN(1,IF(A39&lt;=$B$6,IF($B$4="M",Inputs_IAS19!$C$13,Inputs_IAS19!$C$14),IF($B$4="M",Inputs_IAS19!$C$15,Inputs_IAS19!$C$16))*INDEX(ILT!$B$2:$C$122,MIN(C39,120)+1,IF($B$4="M",1,2))*(1-Inputs_IAS19!$C$17)^MAX(B39-Inputs_IAS19!$C$18,0)))</f>
        <v/>
      </c>
      <c r="E39">
        <f>E38*(1-D39)</f>
        <v/>
      </c>
      <c r="F39">
        <f>(E38+E39)/2</f>
        <v/>
      </c>
      <c r="G39">
        <f>IF(A39&lt;$B$6+1,0,IF(A39=$B$6+1,1,G38*(1+IF(B39=Inputs_IAS19!$C$7,Inputs_IAS19!$C$8,Inputs_IAS19!$C$6))))</f>
        <v/>
      </c>
      <c r="H39">
        <f>$B$12*G39*F39</f>
        <v/>
      </c>
      <c r="I39">
        <f>(1+Inputs_IAS19!$C$26)^-(A39-0.5)</f>
        <v/>
      </c>
      <c r="J39">
        <f>H39*I39</f>
        <v/>
      </c>
      <c r="K39">
        <f>H39*INDEX(Curve_IAS19!$D$2:$D$101,A39)</f>
        <v/>
      </c>
      <c r="M39">
        <f>IF(A39&lt;=$B$6,1-E39/E38,0)</f>
        <v/>
      </c>
      <c r="N39">
        <f>IF(A39&lt;=$B$6,Inputs_IAS19!$C$19*IF(C39&lt;Inputs_IAS19!$C$22,MAX(0,Inputs_IAS19!$C$20-Inputs_IAS19!$C$21*(C39-35)),0),0)</f>
        <v/>
      </c>
      <c r="O39">
        <f>O38*(1-M39-N39)</f>
        <v/>
      </c>
      <c r="P39">
        <f>O38*N39</f>
        <v/>
      </c>
      <c r="Q39">
        <f>$B$8*(1+Inputs_IAS19!$C$4)^A39</f>
        <v/>
      </c>
      <c r="R39">
        <f>Inputs_IAS19!$C$9*(1+Inputs_IAS19!$C$3)^(A39-1)</f>
        <v/>
      </c>
      <c r="S39">
        <f>MIN($B$7,Inputs_IAS19!$C$12)/Inputs_IAS19!$C$11*MAX(Q39-Inputs_IAS19!$C$10*R39,0)</f>
        <v/>
      </c>
      <c r="T39">
        <f>S39*(1+Inputs_IAS19!$C$5*0.5)*(1+Inputs_IAS19!$C$5)^($B$6-A39)</f>
        <v/>
      </c>
      <c r="U39">
        <f>IF(A39&lt;=$B$6,P39*(1-M39/2)*T39/E39,0)</f>
        <v/>
      </c>
    </row>
    <row r="40">
      <c r="A40" t="n">
        <v>22</v>
      </c>
      <c r="B40">
        <f>Inputs_IAS19!$C$2+A40</f>
        <v/>
      </c>
      <c r="C40">
        <f>$B$5+A40-1</f>
        <v/>
      </c>
      <c r="D40">
        <f>IF(C40&gt;=120,1,MIN(1,IF(A40&lt;=$B$6,IF($B$4="M",Inputs_IAS19!$C$13,Inputs_IAS19!$C$14),IF($B$4="M",Inputs_IAS19!$C$15,Inputs_IAS19!$C$16))*INDEX(ILT!$B$2:$C$122,MIN(C40,120)+1,IF($B$4="M",1,2))*(1-Inputs_IAS19!$C$17)^MAX(B40-Inputs_IAS19!$C$18,0)))</f>
        <v/>
      </c>
      <c r="E40">
        <f>E39*(1-D40)</f>
        <v/>
      </c>
      <c r="F40">
        <f>(E39+E40)/2</f>
        <v/>
      </c>
      <c r="G40">
        <f>IF(A40&lt;$B$6+1,0,IF(A40=$B$6+1,1,G39*(1+IF(B40=Inputs_IAS19!$C$7,Inputs_IAS19!$C$8,Inputs_IAS19!$C$6))))</f>
        <v/>
      </c>
      <c r="H40">
        <f>$B$12*G40*F40</f>
        <v/>
      </c>
      <c r="I40">
        <f>(1+Inputs_IAS19!$C$26)^-(A40-0.5)</f>
        <v/>
      </c>
      <c r="J40">
        <f>H40*I40</f>
        <v/>
      </c>
      <c r="K40">
        <f>H40*INDEX(Curve_IAS19!$D$2:$D$101,A40)</f>
        <v/>
      </c>
      <c r="M40">
        <f>IF(A40&lt;=$B$6,1-E40/E39,0)</f>
        <v/>
      </c>
      <c r="N40">
        <f>IF(A40&lt;=$B$6,Inputs_IAS19!$C$19*IF(C40&lt;Inputs_IAS19!$C$22,MAX(0,Inputs_IAS19!$C$20-Inputs_IAS19!$C$21*(C40-35)),0),0)</f>
        <v/>
      </c>
      <c r="O40">
        <f>O39*(1-M40-N40)</f>
        <v/>
      </c>
      <c r="P40">
        <f>O39*N40</f>
        <v/>
      </c>
      <c r="Q40">
        <f>$B$8*(1+Inputs_IAS19!$C$4)^A40</f>
        <v/>
      </c>
      <c r="R40">
        <f>Inputs_IAS19!$C$9*(1+Inputs_IAS19!$C$3)^(A40-1)</f>
        <v/>
      </c>
      <c r="S40">
        <f>MIN($B$7,Inputs_IAS19!$C$12)/Inputs_IAS19!$C$11*MAX(Q40-Inputs_IAS19!$C$10*R40,0)</f>
        <v/>
      </c>
      <c r="T40">
        <f>S40*(1+Inputs_IAS19!$C$5*0.5)*(1+Inputs_IAS19!$C$5)^($B$6-A40)</f>
        <v/>
      </c>
      <c r="U40">
        <f>IF(A40&lt;=$B$6,P40*(1-M40/2)*T40/E40,0)</f>
        <v/>
      </c>
    </row>
    <row r="41">
      <c r="A41" t="n">
        <v>23</v>
      </c>
      <c r="B41">
        <f>Inputs_IAS19!$C$2+A41</f>
        <v/>
      </c>
      <c r="C41">
        <f>$B$5+A41-1</f>
        <v/>
      </c>
      <c r="D41">
        <f>IF(C41&gt;=120,1,MIN(1,IF(A41&lt;=$B$6,IF($B$4="M",Inputs_IAS19!$C$13,Inputs_IAS19!$C$14),IF($B$4="M",Inputs_IAS19!$C$15,Inputs_IAS19!$C$16))*INDEX(ILT!$B$2:$C$122,MIN(C41,120)+1,IF($B$4="M",1,2))*(1-Inputs_IAS19!$C$17)^MAX(B41-Inputs_IAS19!$C$18,0)))</f>
        <v/>
      </c>
      <c r="E41">
        <f>E40*(1-D41)</f>
        <v/>
      </c>
      <c r="F41">
        <f>(E40+E41)/2</f>
        <v/>
      </c>
      <c r="G41">
        <f>IF(A41&lt;$B$6+1,0,IF(A41=$B$6+1,1,G40*(1+IF(B41=Inputs_IAS19!$C$7,Inputs_IAS19!$C$8,Inputs_IAS19!$C$6))))</f>
        <v/>
      </c>
      <c r="H41">
        <f>$B$12*G41*F41</f>
        <v/>
      </c>
      <c r="I41">
        <f>(1+Inputs_IAS19!$C$26)^-(A41-0.5)</f>
        <v/>
      </c>
      <c r="J41">
        <f>H41*I41</f>
        <v/>
      </c>
      <c r="K41">
        <f>H41*INDEX(Curve_IAS19!$D$2:$D$101,A41)</f>
        <v/>
      </c>
      <c r="M41">
        <f>IF(A41&lt;=$B$6,1-E41/E40,0)</f>
        <v/>
      </c>
      <c r="N41">
        <f>IF(A41&lt;=$B$6,Inputs_IAS19!$C$19*IF(C41&lt;Inputs_IAS19!$C$22,MAX(0,Inputs_IAS19!$C$20-Inputs_IAS19!$C$21*(C41-35)),0),0)</f>
        <v/>
      </c>
      <c r="O41">
        <f>O40*(1-M41-N41)</f>
        <v/>
      </c>
      <c r="P41">
        <f>O40*N41</f>
        <v/>
      </c>
      <c r="Q41">
        <f>$B$8*(1+Inputs_IAS19!$C$4)^A41</f>
        <v/>
      </c>
      <c r="R41">
        <f>Inputs_IAS19!$C$9*(1+Inputs_IAS19!$C$3)^(A41-1)</f>
        <v/>
      </c>
      <c r="S41">
        <f>MIN($B$7,Inputs_IAS19!$C$12)/Inputs_IAS19!$C$11*MAX(Q41-Inputs_IAS19!$C$10*R41,0)</f>
        <v/>
      </c>
      <c r="T41">
        <f>S41*(1+Inputs_IAS19!$C$5*0.5)*(1+Inputs_IAS19!$C$5)^($B$6-A41)</f>
        <v/>
      </c>
      <c r="U41">
        <f>IF(A41&lt;=$B$6,P41*(1-M41/2)*T41/E41,0)</f>
        <v/>
      </c>
    </row>
    <row r="42">
      <c r="A42" t="n">
        <v>24</v>
      </c>
      <c r="B42">
        <f>Inputs_IAS19!$C$2+A42</f>
        <v/>
      </c>
      <c r="C42">
        <f>$B$5+A42-1</f>
        <v/>
      </c>
      <c r="D42">
        <f>IF(C42&gt;=120,1,MIN(1,IF(A42&lt;=$B$6,IF($B$4="M",Inputs_IAS19!$C$13,Inputs_IAS19!$C$14),IF($B$4="M",Inputs_IAS19!$C$15,Inputs_IAS19!$C$16))*INDEX(ILT!$B$2:$C$122,MIN(C42,120)+1,IF($B$4="M",1,2))*(1-Inputs_IAS19!$C$17)^MAX(B42-Inputs_IAS19!$C$18,0)))</f>
        <v/>
      </c>
      <c r="E42">
        <f>E41*(1-D42)</f>
        <v/>
      </c>
      <c r="F42">
        <f>(E41+E42)/2</f>
        <v/>
      </c>
      <c r="G42">
        <f>IF(A42&lt;$B$6+1,0,IF(A42=$B$6+1,1,G41*(1+IF(B42=Inputs_IAS19!$C$7,Inputs_IAS19!$C$8,Inputs_IAS19!$C$6))))</f>
        <v/>
      </c>
      <c r="H42">
        <f>$B$12*G42*F42</f>
        <v/>
      </c>
      <c r="I42">
        <f>(1+Inputs_IAS19!$C$26)^-(A42-0.5)</f>
        <v/>
      </c>
      <c r="J42">
        <f>H42*I42</f>
        <v/>
      </c>
      <c r="K42">
        <f>H42*INDEX(Curve_IAS19!$D$2:$D$101,A42)</f>
        <v/>
      </c>
      <c r="M42">
        <f>IF(A42&lt;=$B$6,1-E42/E41,0)</f>
        <v/>
      </c>
      <c r="N42">
        <f>IF(A42&lt;=$B$6,Inputs_IAS19!$C$19*IF(C42&lt;Inputs_IAS19!$C$22,MAX(0,Inputs_IAS19!$C$20-Inputs_IAS19!$C$21*(C42-35)),0),0)</f>
        <v/>
      </c>
      <c r="O42">
        <f>O41*(1-M42-N42)</f>
        <v/>
      </c>
      <c r="P42">
        <f>O41*N42</f>
        <v/>
      </c>
      <c r="Q42">
        <f>$B$8*(1+Inputs_IAS19!$C$4)^A42</f>
        <v/>
      </c>
      <c r="R42">
        <f>Inputs_IAS19!$C$9*(1+Inputs_IAS19!$C$3)^(A42-1)</f>
        <v/>
      </c>
      <c r="S42">
        <f>MIN($B$7,Inputs_IAS19!$C$12)/Inputs_IAS19!$C$11*MAX(Q42-Inputs_IAS19!$C$10*R42,0)</f>
        <v/>
      </c>
      <c r="T42">
        <f>S42*(1+Inputs_IAS19!$C$5*0.5)*(1+Inputs_IAS19!$C$5)^($B$6-A42)</f>
        <v/>
      </c>
      <c r="U42">
        <f>IF(A42&lt;=$B$6,P42*(1-M42/2)*T42/E42,0)</f>
        <v/>
      </c>
    </row>
    <row r="43">
      <c r="A43" t="n">
        <v>25</v>
      </c>
      <c r="B43">
        <f>Inputs_IAS19!$C$2+A43</f>
        <v/>
      </c>
      <c r="C43">
        <f>$B$5+A43-1</f>
        <v/>
      </c>
      <c r="D43">
        <f>IF(C43&gt;=120,1,MIN(1,IF(A43&lt;=$B$6,IF($B$4="M",Inputs_IAS19!$C$13,Inputs_IAS19!$C$14),IF($B$4="M",Inputs_IAS19!$C$15,Inputs_IAS19!$C$16))*INDEX(ILT!$B$2:$C$122,MIN(C43,120)+1,IF($B$4="M",1,2))*(1-Inputs_IAS19!$C$17)^MAX(B43-Inputs_IAS19!$C$18,0)))</f>
        <v/>
      </c>
      <c r="E43">
        <f>E42*(1-D43)</f>
        <v/>
      </c>
      <c r="F43">
        <f>(E42+E43)/2</f>
        <v/>
      </c>
      <c r="G43">
        <f>IF(A43&lt;$B$6+1,0,IF(A43=$B$6+1,1,G42*(1+IF(B43=Inputs_IAS19!$C$7,Inputs_IAS19!$C$8,Inputs_IAS19!$C$6))))</f>
        <v/>
      </c>
      <c r="H43">
        <f>$B$12*G43*F43</f>
        <v/>
      </c>
      <c r="I43">
        <f>(1+Inputs_IAS19!$C$26)^-(A43-0.5)</f>
        <v/>
      </c>
      <c r="J43">
        <f>H43*I43</f>
        <v/>
      </c>
      <c r="K43">
        <f>H43*INDEX(Curve_IAS19!$D$2:$D$101,A43)</f>
        <v/>
      </c>
      <c r="M43">
        <f>IF(A43&lt;=$B$6,1-E43/E42,0)</f>
        <v/>
      </c>
      <c r="N43">
        <f>IF(A43&lt;=$B$6,Inputs_IAS19!$C$19*IF(C43&lt;Inputs_IAS19!$C$22,MAX(0,Inputs_IAS19!$C$20-Inputs_IAS19!$C$21*(C43-35)),0),0)</f>
        <v/>
      </c>
      <c r="O43">
        <f>O42*(1-M43-N43)</f>
        <v/>
      </c>
      <c r="P43">
        <f>O42*N43</f>
        <v/>
      </c>
      <c r="Q43">
        <f>$B$8*(1+Inputs_IAS19!$C$4)^A43</f>
        <v/>
      </c>
      <c r="R43">
        <f>Inputs_IAS19!$C$9*(1+Inputs_IAS19!$C$3)^(A43-1)</f>
        <v/>
      </c>
      <c r="S43">
        <f>MIN($B$7,Inputs_IAS19!$C$12)/Inputs_IAS19!$C$11*MAX(Q43-Inputs_IAS19!$C$10*R43,0)</f>
        <v/>
      </c>
      <c r="T43">
        <f>S43*(1+Inputs_IAS19!$C$5*0.5)*(1+Inputs_IAS19!$C$5)^($B$6-A43)</f>
        <v/>
      </c>
      <c r="U43">
        <f>IF(A43&lt;=$B$6,P43*(1-M43/2)*T43/E43,0)</f>
        <v/>
      </c>
    </row>
    <row r="44">
      <c r="A44" t="n">
        <v>26</v>
      </c>
      <c r="B44">
        <f>Inputs_IAS19!$C$2+A44</f>
        <v/>
      </c>
      <c r="C44">
        <f>$B$5+A44-1</f>
        <v/>
      </c>
      <c r="D44">
        <f>IF(C44&gt;=120,1,MIN(1,IF(A44&lt;=$B$6,IF($B$4="M",Inputs_IAS19!$C$13,Inputs_IAS19!$C$14),IF($B$4="M",Inputs_IAS19!$C$15,Inputs_IAS19!$C$16))*INDEX(ILT!$B$2:$C$122,MIN(C44,120)+1,IF($B$4="M",1,2))*(1-Inputs_IAS19!$C$17)^MAX(B44-Inputs_IAS19!$C$18,0)))</f>
        <v/>
      </c>
      <c r="E44">
        <f>E43*(1-D44)</f>
        <v/>
      </c>
      <c r="F44">
        <f>(E43+E44)/2</f>
        <v/>
      </c>
      <c r="G44">
        <f>IF(A44&lt;$B$6+1,0,IF(A44=$B$6+1,1,G43*(1+IF(B44=Inputs_IAS19!$C$7,Inputs_IAS19!$C$8,Inputs_IAS19!$C$6))))</f>
        <v/>
      </c>
      <c r="H44">
        <f>$B$12*G44*F44</f>
        <v/>
      </c>
      <c r="I44">
        <f>(1+Inputs_IAS19!$C$26)^-(A44-0.5)</f>
        <v/>
      </c>
      <c r="J44">
        <f>H44*I44</f>
        <v/>
      </c>
      <c r="K44">
        <f>H44*INDEX(Curve_IAS19!$D$2:$D$101,A44)</f>
        <v/>
      </c>
      <c r="M44">
        <f>IF(A44&lt;=$B$6,1-E44/E43,0)</f>
        <v/>
      </c>
      <c r="N44">
        <f>IF(A44&lt;=$B$6,Inputs_IAS19!$C$19*IF(C44&lt;Inputs_IAS19!$C$22,MAX(0,Inputs_IAS19!$C$20-Inputs_IAS19!$C$21*(C44-35)),0),0)</f>
        <v/>
      </c>
      <c r="O44">
        <f>O43*(1-M44-N44)</f>
        <v/>
      </c>
      <c r="P44">
        <f>O43*N44</f>
        <v/>
      </c>
      <c r="Q44">
        <f>$B$8*(1+Inputs_IAS19!$C$4)^A44</f>
        <v/>
      </c>
      <c r="R44">
        <f>Inputs_IAS19!$C$9*(1+Inputs_IAS19!$C$3)^(A44-1)</f>
        <v/>
      </c>
      <c r="S44">
        <f>MIN($B$7,Inputs_IAS19!$C$12)/Inputs_IAS19!$C$11*MAX(Q44-Inputs_IAS19!$C$10*R44,0)</f>
        <v/>
      </c>
      <c r="T44">
        <f>S44*(1+Inputs_IAS19!$C$5*0.5)*(1+Inputs_IAS19!$C$5)^($B$6-A44)</f>
        <v/>
      </c>
      <c r="U44">
        <f>IF(A44&lt;=$B$6,P44*(1-M44/2)*T44/E44,0)</f>
        <v/>
      </c>
    </row>
    <row r="45">
      <c r="A45" t="n">
        <v>27</v>
      </c>
      <c r="B45">
        <f>Inputs_IAS19!$C$2+A45</f>
        <v/>
      </c>
      <c r="C45">
        <f>$B$5+A45-1</f>
        <v/>
      </c>
      <c r="D45">
        <f>IF(C45&gt;=120,1,MIN(1,IF(A45&lt;=$B$6,IF($B$4="M",Inputs_IAS19!$C$13,Inputs_IAS19!$C$14),IF($B$4="M",Inputs_IAS19!$C$15,Inputs_IAS19!$C$16))*INDEX(ILT!$B$2:$C$122,MIN(C45,120)+1,IF($B$4="M",1,2))*(1-Inputs_IAS19!$C$17)^MAX(B45-Inputs_IAS19!$C$18,0)))</f>
        <v/>
      </c>
      <c r="E45">
        <f>E44*(1-D45)</f>
        <v/>
      </c>
      <c r="F45">
        <f>(E44+E45)/2</f>
        <v/>
      </c>
      <c r="G45">
        <f>IF(A45&lt;$B$6+1,0,IF(A45=$B$6+1,1,G44*(1+IF(B45=Inputs_IAS19!$C$7,Inputs_IAS19!$C$8,Inputs_IAS19!$C$6))))</f>
        <v/>
      </c>
      <c r="H45">
        <f>$B$12*G45*F45</f>
        <v/>
      </c>
      <c r="I45">
        <f>(1+Inputs_IAS19!$C$26)^-(A45-0.5)</f>
        <v/>
      </c>
      <c r="J45">
        <f>H45*I45</f>
        <v/>
      </c>
      <c r="K45">
        <f>H45*INDEX(Curve_IAS19!$D$2:$D$101,A45)</f>
        <v/>
      </c>
      <c r="M45">
        <f>IF(A45&lt;=$B$6,1-E45/E44,0)</f>
        <v/>
      </c>
      <c r="N45">
        <f>IF(A45&lt;=$B$6,Inputs_IAS19!$C$19*IF(C45&lt;Inputs_IAS19!$C$22,MAX(0,Inputs_IAS19!$C$20-Inputs_IAS19!$C$21*(C45-35)),0),0)</f>
        <v/>
      </c>
      <c r="O45">
        <f>O44*(1-M45-N45)</f>
        <v/>
      </c>
      <c r="P45">
        <f>O44*N45</f>
        <v/>
      </c>
      <c r="Q45">
        <f>$B$8*(1+Inputs_IAS19!$C$4)^A45</f>
        <v/>
      </c>
      <c r="R45">
        <f>Inputs_IAS19!$C$9*(1+Inputs_IAS19!$C$3)^(A45-1)</f>
        <v/>
      </c>
      <c r="S45">
        <f>MIN($B$7,Inputs_IAS19!$C$12)/Inputs_IAS19!$C$11*MAX(Q45-Inputs_IAS19!$C$10*R45,0)</f>
        <v/>
      </c>
      <c r="T45">
        <f>S45*(1+Inputs_IAS19!$C$5*0.5)*(1+Inputs_IAS19!$C$5)^($B$6-A45)</f>
        <v/>
      </c>
      <c r="U45">
        <f>IF(A45&lt;=$B$6,P45*(1-M45/2)*T45/E45,0)</f>
        <v/>
      </c>
    </row>
    <row r="46">
      <c r="A46" t="n">
        <v>28</v>
      </c>
      <c r="B46">
        <f>Inputs_IAS19!$C$2+A46</f>
        <v/>
      </c>
      <c r="C46">
        <f>$B$5+A46-1</f>
        <v/>
      </c>
      <c r="D46">
        <f>IF(C46&gt;=120,1,MIN(1,IF(A46&lt;=$B$6,IF($B$4="M",Inputs_IAS19!$C$13,Inputs_IAS19!$C$14),IF($B$4="M",Inputs_IAS19!$C$15,Inputs_IAS19!$C$16))*INDEX(ILT!$B$2:$C$122,MIN(C46,120)+1,IF($B$4="M",1,2))*(1-Inputs_IAS19!$C$17)^MAX(B46-Inputs_IAS19!$C$18,0)))</f>
        <v/>
      </c>
      <c r="E46">
        <f>E45*(1-D46)</f>
        <v/>
      </c>
      <c r="F46">
        <f>(E45+E46)/2</f>
        <v/>
      </c>
      <c r="G46">
        <f>IF(A46&lt;$B$6+1,0,IF(A46=$B$6+1,1,G45*(1+IF(B46=Inputs_IAS19!$C$7,Inputs_IAS19!$C$8,Inputs_IAS19!$C$6))))</f>
        <v/>
      </c>
      <c r="H46">
        <f>$B$12*G46*F46</f>
        <v/>
      </c>
      <c r="I46">
        <f>(1+Inputs_IAS19!$C$26)^-(A46-0.5)</f>
        <v/>
      </c>
      <c r="J46">
        <f>H46*I46</f>
        <v/>
      </c>
      <c r="K46">
        <f>H46*INDEX(Curve_IAS19!$D$2:$D$101,A46)</f>
        <v/>
      </c>
      <c r="M46">
        <f>IF(A46&lt;=$B$6,1-E46/E45,0)</f>
        <v/>
      </c>
      <c r="N46">
        <f>IF(A46&lt;=$B$6,Inputs_IAS19!$C$19*IF(C46&lt;Inputs_IAS19!$C$22,MAX(0,Inputs_IAS19!$C$20-Inputs_IAS19!$C$21*(C46-35)),0),0)</f>
        <v/>
      </c>
      <c r="O46">
        <f>O45*(1-M46-N46)</f>
        <v/>
      </c>
      <c r="P46">
        <f>O45*N46</f>
        <v/>
      </c>
      <c r="Q46">
        <f>$B$8*(1+Inputs_IAS19!$C$4)^A46</f>
        <v/>
      </c>
      <c r="R46">
        <f>Inputs_IAS19!$C$9*(1+Inputs_IAS19!$C$3)^(A46-1)</f>
        <v/>
      </c>
      <c r="S46">
        <f>MIN($B$7,Inputs_IAS19!$C$12)/Inputs_IAS19!$C$11*MAX(Q46-Inputs_IAS19!$C$10*R46,0)</f>
        <v/>
      </c>
      <c r="T46">
        <f>S46*(1+Inputs_IAS19!$C$5*0.5)*(1+Inputs_IAS19!$C$5)^($B$6-A46)</f>
        <v/>
      </c>
      <c r="U46">
        <f>IF(A46&lt;=$B$6,P46*(1-M46/2)*T46/E46,0)</f>
        <v/>
      </c>
    </row>
    <row r="47">
      <c r="A47" t="n">
        <v>29</v>
      </c>
      <c r="B47">
        <f>Inputs_IAS19!$C$2+A47</f>
        <v/>
      </c>
      <c r="C47">
        <f>$B$5+A47-1</f>
        <v/>
      </c>
      <c r="D47">
        <f>IF(C47&gt;=120,1,MIN(1,IF(A47&lt;=$B$6,IF($B$4="M",Inputs_IAS19!$C$13,Inputs_IAS19!$C$14),IF($B$4="M",Inputs_IAS19!$C$15,Inputs_IAS19!$C$16))*INDEX(ILT!$B$2:$C$122,MIN(C47,120)+1,IF($B$4="M",1,2))*(1-Inputs_IAS19!$C$17)^MAX(B47-Inputs_IAS19!$C$18,0)))</f>
        <v/>
      </c>
      <c r="E47">
        <f>E46*(1-D47)</f>
        <v/>
      </c>
      <c r="F47">
        <f>(E46+E47)/2</f>
        <v/>
      </c>
      <c r="G47">
        <f>IF(A47&lt;$B$6+1,0,IF(A47=$B$6+1,1,G46*(1+IF(B47=Inputs_IAS19!$C$7,Inputs_IAS19!$C$8,Inputs_IAS19!$C$6))))</f>
        <v/>
      </c>
      <c r="H47">
        <f>$B$12*G47*F47</f>
        <v/>
      </c>
      <c r="I47">
        <f>(1+Inputs_IAS19!$C$26)^-(A47-0.5)</f>
        <v/>
      </c>
      <c r="J47">
        <f>H47*I47</f>
        <v/>
      </c>
      <c r="K47">
        <f>H47*INDEX(Curve_IAS19!$D$2:$D$101,A47)</f>
        <v/>
      </c>
      <c r="M47">
        <f>IF(A47&lt;=$B$6,1-E47/E46,0)</f>
        <v/>
      </c>
      <c r="N47">
        <f>IF(A47&lt;=$B$6,Inputs_IAS19!$C$19*IF(C47&lt;Inputs_IAS19!$C$22,MAX(0,Inputs_IAS19!$C$20-Inputs_IAS19!$C$21*(C47-35)),0),0)</f>
        <v/>
      </c>
      <c r="O47">
        <f>O46*(1-M47-N47)</f>
        <v/>
      </c>
      <c r="P47">
        <f>O46*N47</f>
        <v/>
      </c>
      <c r="Q47">
        <f>$B$8*(1+Inputs_IAS19!$C$4)^A47</f>
        <v/>
      </c>
      <c r="R47">
        <f>Inputs_IAS19!$C$9*(1+Inputs_IAS19!$C$3)^(A47-1)</f>
        <v/>
      </c>
      <c r="S47">
        <f>MIN($B$7,Inputs_IAS19!$C$12)/Inputs_IAS19!$C$11*MAX(Q47-Inputs_IAS19!$C$10*R47,0)</f>
        <v/>
      </c>
      <c r="T47">
        <f>S47*(1+Inputs_IAS19!$C$5*0.5)*(1+Inputs_IAS19!$C$5)^($B$6-A47)</f>
        <v/>
      </c>
      <c r="U47">
        <f>IF(A47&lt;=$B$6,P47*(1-M47/2)*T47/E47,0)</f>
        <v/>
      </c>
    </row>
    <row r="48">
      <c r="A48" t="n">
        <v>30</v>
      </c>
      <c r="B48">
        <f>Inputs_IAS19!$C$2+A48</f>
        <v/>
      </c>
      <c r="C48">
        <f>$B$5+A48-1</f>
        <v/>
      </c>
      <c r="D48">
        <f>IF(C48&gt;=120,1,MIN(1,IF(A48&lt;=$B$6,IF($B$4="M",Inputs_IAS19!$C$13,Inputs_IAS19!$C$14),IF($B$4="M",Inputs_IAS19!$C$15,Inputs_IAS19!$C$16))*INDEX(ILT!$B$2:$C$122,MIN(C48,120)+1,IF($B$4="M",1,2))*(1-Inputs_IAS19!$C$17)^MAX(B48-Inputs_IAS19!$C$18,0)))</f>
        <v/>
      </c>
      <c r="E48">
        <f>E47*(1-D48)</f>
        <v/>
      </c>
      <c r="F48">
        <f>(E47+E48)/2</f>
        <v/>
      </c>
      <c r="G48">
        <f>IF(A48&lt;$B$6+1,0,IF(A48=$B$6+1,1,G47*(1+IF(B48=Inputs_IAS19!$C$7,Inputs_IAS19!$C$8,Inputs_IAS19!$C$6))))</f>
        <v/>
      </c>
      <c r="H48">
        <f>$B$12*G48*F48</f>
        <v/>
      </c>
      <c r="I48">
        <f>(1+Inputs_IAS19!$C$26)^-(A48-0.5)</f>
        <v/>
      </c>
      <c r="J48">
        <f>H48*I48</f>
        <v/>
      </c>
      <c r="K48">
        <f>H48*INDEX(Curve_IAS19!$D$2:$D$101,A48)</f>
        <v/>
      </c>
      <c r="M48">
        <f>IF(A48&lt;=$B$6,1-E48/E47,0)</f>
        <v/>
      </c>
      <c r="N48">
        <f>IF(A48&lt;=$B$6,Inputs_IAS19!$C$19*IF(C48&lt;Inputs_IAS19!$C$22,MAX(0,Inputs_IAS19!$C$20-Inputs_IAS19!$C$21*(C48-35)),0),0)</f>
        <v/>
      </c>
      <c r="O48">
        <f>O47*(1-M48-N48)</f>
        <v/>
      </c>
      <c r="P48">
        <f>O47*N48</f>
        <v/>
      </c>
      <c r="Q48">
        <f>$B$8*(1+Inputs_IAS19!$C$4)^A48</f>
        <v/>
      </c>
      <c r="R48">
        <f>Inputs_IAS19!$C$9*(1+Inputs_IAS19!$C$3)^(A48-1)</f>
        <v/>
      </c>
      <c r="S48">
        <f>MIN($B$7,Inputs_IAS19!$C$12)/Inputs_IAS19!$C$11*MAX(Q48-Inputs_IAS19!$C$10*R48,0)</f>
        <v/>
      </c>
      <c r="T48">
        <f>S48*(1+Inputs_IAS19!$C$5*0.5)*(1+Inputs_IAS19!$C$5)^($B$6-A48)</f>
        <v/>
      </c>
      <c r="U48">
        <f>IF(A48&lt;=$B$6,P48*(1-M48/2)*T48/E48,0)</f>
        <v/>
      </c>
    </row>
    <row r="49">
      <c r="A49" t="n">
        <v>31</v>
      </c>
      <c r="B49">
        <f>Inputs_IAS19!$C$2+A49</f>
        <v/>
      </c>
      <c r="C49">
        <f>$B$5+A49-1</f>
        <v/>
      </c>
      <c r="D49">
        <f>IF(C49&gt;=120,1,MIN(1,IF(A49&lt;=$B$6,IF($B$4="M",Inputs_IAS19!$C$13,Inputs_IAS19!$C$14),IF($B$4="M",Inputs_IAS19!$C$15,Inputs_IAS19!$C$16))*INDEX(ILT!$B$2:$C$122,MIN(C49,120)+1,IF($B$4="M",1,2))*(1-Inputs_IAS19!$C$17)^MAX(B49-Inputs_IAS19!$C$18,0)))</f>
        <v/>
      </c>
      <c r="E49">
        <f>E48*(1-D49)</f>
        <v/>
      </c>
      <c r="F49">
        <f>(E48+E49)/2</f>
        <v/>
      </c>
      <c r="G49">
        <f>IF(A49&lt;$B$6+1,0,IF(A49=$B$6+1,1,G48*(1+IF(B49=Inputs_IAS19!$C$7,Inputs_IAS19!$C$8,Inputs_IAS19!$C$6))))</f>
        <v/>
      </c>
      <c r="H49">
        <f>$B$12*G49*F49</f>
        <v/>
      </c>
      <c r="I49">
        <f>(1+Inputs_IAS19!$C$26)^-(A49-0.5)</f>
        <v/>
      </c>
      <c r="J49">
        <f>H49*I49</f>
        <v/>
      </c>
      <c r="K49">
        <f>H49*INDEX(Curve_IAS19!$D$2:$D$101,A49)</f>
        <v/>
      </c>
      <c r="M49">
        <f>IF(A49&lt;=$B$6,1-E49/E48,0)</f>
        <v/>
      </c>
      <c r="N49">
        <f>IF(A49&lt;=$B$6,Inputs_IAS19!$C$19*IF(C49&lt;Inputs_IAS19!$C$22,MAX(0,Inputs_IAS19!$C$20-Inputs_IAS19!$C$21*(C49-35)),0),0)</f>
        <v/>
      </c>
      <c r="O49">
        <f>O48*(1-M49-N49)</f>
        <v/>
      </c>
      <c r="P49">
        <f>O48*N49</f>
        <v/>
      </c>
      <c r="Q49">
        <f>$B$8*(1+Inputs_IAS19!$C$4)^A49</f>
        <v/>
      </c>
      <c r="R49">
        <f>Inputs_IAS19!$C$9*(1+Inputs_IAS19!$C$3)^(A49-1)</f>
        <v/>
      </c>
      <c r="S49">
        <f>MIN($B$7,Inputs_IAS19!$C$12)/Inputs_IAS19!$C$11*MAX(Q49-Inputs_IAS19!$C$10*R49,0)</f>
        <v/>
      </c>
      <c r="T49">
        <f>S49*(1+Inputs_IAS19!$C$5*0.5)*(1+Inputs_IAS19!$C$5)^($B$6-A49)</f>
        <v/>
      </c>
      <c r="U49">
        <f>IF(A49&lt;=$B$6,P49*(1-M49/2)*T49/E49,0)</f>
        <v/>
      </c>
    </row>
    <row r="50">
      <c r="A50" t="n">
        <v>32</v>
      </c>
      <c r="B50">
        <f>Inputs_IAS19!$C$2+A50</f>
        <v/>
      </c>
      <c r="C50">
        <f>$B$5+A50-1</f>
        <v/>
      </c>
      <c r="D50">
        <f>IF(C50&gt;=120,1,MIN(1,IF(A50&lt;=$B$6,IF($B$4="M",Inputs_IAS19!$C$13,Inputs_IAS19!$C$14),IF($B$4="M",Inputs_IAS19!$C$15,Inputs_IAS19!$C$16))*INDEX(ILT!$B$2:$C$122,MIN(C50,120)+1,IF($B$4="M",1,2))*(1-Inputs_IAS19!$C$17)^MAX(B50-Inputs_IAS19!$C$18,0)))</f>
        <v/>
      </c>
      <c r="E50">
        <f>E49*(1-D50)</f>
        <v/>
      </c>
      <c r="F50">
        <f>(E49+E50)/2</f>
        <v/>
      </c>
      <c r="G50">
        <f>IF(A50&lt;$B$6+1,0,IF(A50=$B$6+1,1,G49*(1+IF(B50=Inputs_IAS19!$C$7,Inputs_IAS19!$C$8,Inputs_IAS19!$C$6))))</f>
        <v/>
      </c>
      <c r="H50">
        <f>$B$12*G50*F50</f>
        <v/>
      </c>
      <c r="I50">
        <f>(1+Inputs_IAS19!$C$26)^-(A50-0.5)</f>
        <v/>
      </c>
      <c r="J50">
        <f>H50*I50</f>
        <v/>
      </c>
      <c r="K50">
        <f>H50*INDEX(Curve_IAS19!$D$2:$D$101,A50)</f>
        <v/>
      </c>
      <c r="M50">
        <f>IF(A50&lt;=$B$6,1-E50/E49,0)</f>
        <v/>
      </c>
      <c r="N50">
        <f>IF(A50&lt;=$B$6,Inputs_IAS19!$C$19*IF(C50&lt;Inputs_IAS19!$C$22,MAX(0,Inputs_IAS19!$C$20-Inputs_IAS19!$C$21*(C50-35)),0),0)</f>
        <v/>
      </c>
      <c r="O50">
        <f>O49*(1-M50-N50)</f>
        <v/>
      </c>
      <c r="P50">
        <f>O49*N50</f>
        <v/>
      </c>
      <c r="Q50">
        <f>$B$8*(1+Inputs_IAS19!$C$4)^A50</f>
        <v/>
      </c>
      <c r="R50">
        <f>Inputs_IAS19!$C$9*(1+Inputs_IAS19!$C$3)^(A50-1)</f>
        <v/>
      </c>
      <c r="S50">
        <f>MIN($B$7,Inputs_IAS19!$C$12)/Inputs_IAS19!$C$11*MAX(Q50-Inputs_IAS19!$C$10*R50,0)</f>
        <v/>
      </c>
      <c r="T50">
        <f>S50*(1+Inputs_IAS19!$C$5*0.5)*(1+Inputs_IAS19!$C$5)^($B$6-A50)</f>
        <v/>
      </c>
      <c r="U50">
        <f>IF(A50&lt;=$B$6,P50*(1-M50/2)*T50/E50,0)</f>
        <v/>
      </c>
    </row>
    <row r="51">
      <c r="A51" t="n">
        <v>33</v>
      </c>
      <c r="B51">
        <f>Inputs_IAS19!$C$2+A51</f>
        <v/>
      </c>
      <c r="C51">
        <f>$B$5+A51-1</f>
        <v/>
      </c>
      <c r="D51">
        <f>IF(C51&gt;=120,1,MIN(1,IF(A51&lt;=$B$6,IF($B$4="M",Inputs_IAS19!$C$13,Inputs_IAS19!$C$14),IF($B$4="M",Inputs_IAS19!$C$15,Inputs_IAS19!$C$16))*INDEX(ILT!$B$2:$C$122,MIN(C51,120)+1,IF($B$4="M",1,2))*(1-Inputs_IAS19!$C$17)^MAX(B51-Inputs_IAS19!$C$18,0)))</f>
        <v/>
      </c>
      <c r="E51">
        <f>E50*(1-D51)</f>
        <v/>
      </c>
      <c r="F51">
        <f>(E50+E51)/2</f>
        <v/>
      </c>
      <c r="G51">
        <f>IF(A51&lt;$B$6+1,0,IF(A51=$B$6+1,1,G50*(1+IF(B51=Inputs_IAS19!$C$7,Inputs_IAS19!$C$8,Inputs_IAS19!$C$6))))</f>
        <v/>
      </c>
      <c r="H51">
        <f>$B$12*G51*F51</f>
        <v/>
      </c>
      <c r="I51">
        <f>(1+Inputs_IAS19!$C$26)^-(A51-0.5)</f>
        <v/>
      </c>
      <c r="J51">
        <f>H51*I51</f>
        <v/>
      </c>
      <c r="K51">
        <f>H51*INDEX(Curve_IAS19!$D$2:$D$101,A51)</f>
        <v/>
      </c>
      <c r="M51">
        <f>IF(A51&lt;=$B$6,1-E51/E50,0)</f>
        <v/>
      </c>
      <c r="N51">
        <f>IF(A51&lt;=$B$6,Inputs_IAS19!$C$19*IF(C51&lt;Inputs_IAS19!$C$22,MAX(0,Inputs_IAS19!$C$20-Inputs_IAS19!$C$21*(C51-35)),0),0)</f>
        <v/>
      </c>
      <c r="O51">
        <f>O50*(1-M51-N51)</f>
        <v/>
      </c>
      <c r="P51">
        <f>O50*N51</f>
        <v/>
      </c>
      <c r="Q51">
        <f>$B$8*(1+Inputs_IAS19!$C$4)^A51</f>
        <v/>
      </c>
      <c r="R51">
        <f>Inputs_IAS19!$C$9*(1+Inputs_IAS19!$C$3)^(A51-1)</f>
        <v/>
      </c>
      <c r="S51">
        <f>MIN($B$7,Inputs_IAS19!$C$12)/Inputs_IAS19!$C$11*MAX(Q51-Inputs_IAS19!$C$10*R51,0)</f>
        <v/>
      </c>
      <c r="T51">
        <f>S51*(1+Inputs_IAS19!$C$5*0.5)*(1+Inputs_IAS19!$C$5)^($B$6-A51)</f>
        <v/>
      </c>
      <c r="U51">
        <f>IF(A51&lt;=$B$6,P51*(1-M51/2)*T51/E51,0)</f>
        <v/>
      </c>
    </row>
    <row r="52">
      <c r="A52" t="n">
        <v>34</v>
      </c>
      <c r="B52">
        <f>Inputs_IAS19!$C$2+A52</f>
        <v/>
      </c>
      <c r="C52">
        <f>$B$5+A52-1</f>
        <v/>
      </c>
      <c r="D52">
        <f>IF(C52&gt;=120,1,MIN(1,IF(A52&lt;=$B$6,IF($B$4="M",Inputs_IAS19!$C$13,Inputs_IAS19!$C$14),IF($B$4="M",Inputs_IAS19!$C$15,Inputs_IAS19!$C$16))*INDEX(ILT!$B$2:$C$122,MIN(C52,120)+1,IF($B$4="M",1,2))*(1-Inputs_IAS19!$C$17)^MAX(B52-Inputs_IAS19!$C$18,0)))</f>
        <v/>
      </c>
      <c r="E52">
        <f>E51*(1-D52)</f>
        <v/>
      </c>
      <c r="F52">
        <f>(E51+E52)/2</f>
        <v/>
      </c>
      <c r="G52">
        <f>IF(A52&lt;$B$6+1,0,IF(A52=$B$6+1,1,G51*(1+IF(B52=Inputs_IAS19!$C$7,Inputs_IAS19!$C$8,Inputs_IAS19!$C$6))))</f>
        <v/>
      </c>
      <c r="H52">
        <f>$B$12*G52*F52</f>
        <v/>
      </c>
      <c r="I52">
        <f>(1+Inputs_IAS19!$C$26)^-(A52-0.5)</f>
        <v/>
      </c>
      <c r="J52">
        <f>H52*I52</f>
        <v/>
      </c>
      <c r="K52">
        <f>H52*INDEX(Curve_IAS19!$D$2:$D$101,A52)</f>
        <v/>
      </c>
      <c r="M52">
        <f>IF(A52&lt;=$B$6,1-E52/E51,0)</f>
        <v/>
      </c>
      <c r="N52">
        <f>IF(A52&lt;=$B$6,Inputs_IAS19!$C$19*IF(C52&lt;Inputs_IAS19!$C$22,MAX(0,Inputs_IAS19!$C$20-Inputs_IAS19!$C$21*(C52-35)),0),0)</f>
        <v/>
      </c>
      <c r="O52">
        <f>O51*(1-M52-N52)</f>
        <v/>
      </c>
      <c r="P52">
        <f>O51*N52</f>
        <v/>
      </c>
      <c r="Q52">
        <f>$B$8*(1+Inputs_IAS19!$C$4)^A52</f>
        <v/>
      </c>
      <c r="R52">
        <f>Inputs_IAS19!$C$9*(1+Inputs_IAS19!$C$3)^(A52-1)</f>
        <v/>
      </c>
      <c r="S52">
        <f>MIN($B$7,Inputs_IAS19!$C$12)/Inputs_IAS19!$C$11*MAX(Q52-Inputs_IAS19!$C$10*R52,0)</f>
        <v/>
      </c>
      <c r="T52">
        <f>S52*(1+Inputs_IAS19!$C$5*0.5)*(1+Inputs_IAS19!$C$5)^($B$6-A52)</f>
        <v/>
      </c>
      <c r="U52">
        <f>IF(A52&lt;=$B$6,P52*(1-M52/2)*T52/E52,0)</f>
        <v/>
      </c>
    </row>
    <row r="53">
      <c r="A53" t="n">
        <v>35</v>
      </c>
      <c r="B53">
        <f>Inputs_IAS19!$C$2+A53</f>
        <v/>
      </c>
      <c r="C53">
        <f>$B$5+A53-1</f>
        <v/>
      </c>
      <c r="D53">
        <f>IF(C53&gt;=120,1,MIN(1,IF(A53&lt;=$B$6,IF($B$4="M",Inputs_IAS19!$C$13,Inputs_IAS19!$C$14),IF($B$4="M",Inputs_IAS19!$C$15,Inputs_IAS19!$C$16))*INDEX(ILT!$B$2:$C$122,MIN(C53,120)+1,IF($B$4="M",1,2))*(1-Inputs_IAS19!$C$17)^MAX(B53-Inputs_IAS19!$C$18,0)))</f>
        <v/>
      </c>
      <c r="E53">
        <f>E52*(1-D53)</f>
        <v/>
      </c>
      <c r="F53">
        <f>(E52+E53)/2</f>
        <v/>
      </c>
      <c r="G53">
        <f>IF(A53&lt;$B$6+1,0,IF(A53=$B$6+1,1,G52*(1+IF(B53=Inputs_IAS19!$C$7,Inputs_IAS19!$C$8,Inputs_IAS19!$C$6))))</f>
        <v/>
      </c>
      <c r="H53">
        <f>$B$12*G53*F53</f>
        <v/>
      </c>
      <c r="I53">
        <f>(1+Inputs_IAS19!$C$26)^-(A53-0.5)</f>
        <v/>
      </c>
      <c r="J53">
        <f>H53*I53</f>
        <v/>
      </c>
      <c r="K53">
        <f>H53*INDEX(Curve_IAS19!$D$2:$D$101,A53)</f>
        <v/>
      </c>
      <c r="M53">
        <f>IF(A53&lt;=$B$6,1-E53/E52,0)</f>
        <v/>
      </c>
      <c r="N53">
        <f>IF(A53&lt;=$B$6,Inputs_IAS19!$C$19*IF(C53&lt;Inputs_IAS19!$C$22,MAX(0,Inputs_IAS19!$C$20-Inputs_IAS19!$C$21*(C53-35)),0),0)</f>
        <v/>
      </c>
      <c r="O53">
        <f>O52*(1-M53-N53)</f>
        <v/>
      </c>
      <c r="P53">
        <f>O52*N53</f>
        <v/>
      </c>
      <c r="Q53">
        <f>$B$8*(1+Inputs_IAS19!$C$4)^A53</f>
        <v/>
      </c>
      <c r="R53">
        <f>Inputs_IAS19!$C$9*(1+Inputs_IAS19!$C$3)^(A53-1)</f>
        <v/>
      </c>
      <c r="S53">
        <f>MIN($B$7,Inputs_IAS19!$C$12)/Inputs_IAS19!$C$11*MAX(Q53-Inputs_IAS19!$C$10*R53,0)</f>
        <v/>
      </c>
      <c r="T53">
        <f>S53*(1+Inputs_IAS19!$C$5*0.5)*(1+Inputs_IAS19!$C$5)^($B$6-A53)</f>
        <v/>
      </c>
      <c r="U53">
        <f>IF(A53&lt;=$B$6,P53*(1-M53/2)*T53/E53,0)</f>
        <v/>
      </c>
    </row>
    <row r="54">
      <c r="A54" t="n">
        <v>36</v>
      </c>
      <c r="B54">
        <f>Inputs_IAS19!$C$2+A54</f>
        <v/>
      </c>
      <c r="C54">
        <f>$B$5+A54-1</f>
        <v/>
      </c>
      <c r="D54">
        <f>IF(C54&gt;=120,1,MIN(1,IF(A54&lt;=$B$6,IF($B$4="M",Inputs_IAS19!$C$13,Inputs_IAS19!$C$14),IF($B$4="M",Inputs_IAS19!$C$15,Inputs_IAS19!$C$16))*INDEX(ILT!$B$2:$C$122,MIN(C54,120)+1,IF($B$4="M",1,2))*(1-Inputs_IAS19!$C$17)^MAX(B54-Inputs_IAS19!$C$18,0)))</f>
        <v/>
      </c>
      <c r="E54">
        <f>E53*(1-D54)</f>
        <v/>
      </c>
      <c r="F54">
        <f>(E53+E54)/2</f>
        <v/>
      </c>
      <c r="G54">
        <f>IF(A54&lt;$B$6+1,0,IF(A54=$B$6+1,1,G53*(1+IF(B54=Inputs_IAS19!$C$7,Inputs_IAS19!$C$8,Inputs_IAS19!$C$6))))</f>
        <v/>
      </c>
      <c r="H54">
        <f>$B$12*G54*F54</f>
        <v/>
      </c>
      <c r="I54">
        <f>(1+Inputs_IAS19!$C$26)^-(A54-0.5)</f>
        <v/>
      </c>
      <c r="J54">
        <f>H54*I54</f>
        <v/>
      </c>
      <c r="K54">
        <f>H54*INDEX(Curve_IAS19!$D$2:$D$101,A54)</f>
        <v/>
      </c>
      <c r="M54">
        <f>IF(A54&lt;=$B$6,1-E54/E53,0)</f>
        <v/>
      </c>
      <c r="N54">
        <f>IF(A54&lt;=$B$6,Inputs_IAS19!$C$19*IF(C54&lt;Inputs_IAS19!$C$22,MAX(0,Inputs_IAS19!$C$20-Inputs_IAS19!$C$21*(C54-35)),0),0)</f>
        <v/>
      </c>
      <c r="O54">
        <f>O53*(1-M54-N54)</f>
        <v/>
      </c>
      <c r="P54">
        <f>O53*N54</f>
        <v/>
      </c>
      <c r="Q54">
        <f>$B$8*(1+Inputs_IAS19!$C$4)^A54</f>
        <v/>
      </c>
      <c r="R54">
        <f>Inputs_IAS19!$C$9*(1+Inputs_IAS19!$C$3)^(A54-1)</f>
        <v/>
      </c>
      <c r="S54">
        <f>MIN($B$7,Inputs_IAS19!$C$12)/Inputs_IAS19!$C$11*MAX(Q54-Inputs_IAS19!$C$10*R54,0)</f>
        <v/>
      </c>
      <c r="T54">
        <f>S54*(1+Inputs_IAS19!$C$5*0.5)*(1+Inputs_IAS19!$C$5)^($B$6-A54)</f>
        <v/>
      </c>
      <c r="U54">
        <f>IF(A54&lt;=$B$6,P54*(1-M54/2)*T54/E54,0)</f>
        <v/>
      </c>
    </row>
    <row r="55">
      <c r="A55" t="n">
        <v>37</v>
      </c>
      <c r="B55">
        <f>Inputs_IAS19!$C$2+A55</f>
        <v/>
      </c>
      <c r="C55">
        <f>$B$5+A55-1</f>
        <v/>
      </c>
      <c r="D55">
        <f>IF(C55&gt;=120,1,MIN(1,IF(A55&lt;=$B$6,IF($B$4="M",Inputs_IAS19!$C$13,Inputs_IAS19!$C$14),IF($B$4="M",Inputs_IAS19!$C$15,Inputs_IAS19!$C$16))*INDEX(ILT!$B$2:$C$122,MIN(C55,120)+1,IF($B$4="M",1,2))*(1-Inputs_IAS19!$C$17)^MAX(B55-Inputs_IAS19!$C$18,0)))</f>
        <v/>
      </c>
      <c r="E55">
        <f>E54*(1-D55)</f>
        <v/>
      </c>
      <c r="F55">
        <f>(E54+E55)/2</f>
        <v/>
      </c>
      <c r="G55">
        <f>IF(A55&lt;$B$6+1,0,IF(A55=$B$6+1,1,G54*(1+IF(B55=Inputs_IAS19!$C$7,Inputs_IAS19!$C$8,Inputs_IAS19!$C$6))))</f>
        <v/>
      </c>
      <c r="H55">
        <f>$B$12*G55*F55</f>
        <v/>
      </c>
      <c r="I55">
        <f>(1+Inputs_IAS19!$C$26)^-(A55-0.5)</f>
        <v/>
      </c>
      <c r="J55">
        <f>H55*I55</f>
        <v/>
      </c>
      <c r="K55">
        <f>H55*INDEX(Curve_IAS19!$D$2:$D$101,A55)</f>
        <v/>
      </c>
      <c r="M55">
        <f>IF(A55&lt;=$B$6,1-E55/E54,0)</f>
        <v/>
      </c>
      <c r="N55">
        <f>IF(A55&lt;=$B$6,Inputs_IAS19!$C$19*IF(C55&lt;Inputs_IAS19!$C$22,MAX(0,Inputs_IAS19!$C$20-Inputs_IAS19!$C$21*(C55-35)),0),0)</f>
        <v/>
      </c>
      <c r="O55">
        <f>O54*(1-M55-N55)</f>
        <v/>
      </c>
      <c r="P55">
        <f>O54*N55</f>
        <v/>
      </c>
      <c r="Q55">
        <f>$B$8*(1+Inputs_IAS19!$C$4)^A55</f>
        <v/>
      </c>
      <c r="R55">
        <f>Inputs_IAS19!$C$9*(1+Inputs_IAS19!$C$3)^(A55-1)</f>
        <v/>
      </c>
      <c r="S55">
        <f>MIN($B$7,Inputs_IAS19!$C$12)/Inputs_IAS19!$C$11*MAX(Q55-Inputs_IAS19!$C$10*R55,0)</f>
        <v/>
      </c>
      <c r="T55">
        <f>S55*(1+Inputs_IAS19!$C$5*0.5)*(1+Inputs_IAS19!$C$5)^($B$6-A55)</f>
        <v/>
      </c>
      <c r="U55">
        <f>IF(A55&lt;=$B$6,P55*(1-M55/2)*T55/E55,0)</f>
        <v/>
      </c>
    </row>
    <row r="56">
      <c r="A56" t="n">
        <v>38</v>
      </c>
      <c r="B56">
        <f>Inputs_IAS19!$C$2+A56</f>
        <v/>
      </c>
      <c r="C56">
        <f>$B$5+A56-1</f>
        <v/>
      </c>
      <c r="D56">
        <f>IF(C56&gt;=120,1,MIN(1,IF(A56&lt;=$B$6,IF($B$4="M",Inputs_IAS19!$C$13,Inputs_IAS19!$C$14),IF($B$4="M",Inputs_IAS19!$C$15,Inputs_IAS19!$C$16))*INDEX(ILT!$B$2:$C$122,MIN(C56,120)+1,IF($B$4="M",1,2))*(1-Inputs_IAS19!$C$17)^MAX(B56-Inputs_IAS19!$C$18,0)))</f>
        <v/>
      </c>
      <c r="E56">
        <f>E55*(1-D56)</f>
        <v/>
      </c>
      <c r="F56">
        <f>(E55+E56)/2</f>
        <v/>
      </c>
      <c r="G56">
        <f>IF(A56&lt;$B$6+1,0,IF(A56=$B$6+1,1,G55*(1+IF(B56=Inputs_IAS19!$C$7,Inputs_IAS19!$C$8,Inputs_IAS19!$C$6))))</f>
        <v/>
      </c>
      <c r="H56">
        <f>$B$12*G56*F56</f>
        <v/>
      </c>
      <c r="I56">
        <f>(1+Inputs_IAS19!$C$26)^-(A56-0.5)</f>
        <v/>
      </c>
      <c r="J56">
        <f>H56*I56</f>
        <v/>
      </c>
      <c r="K56">
        <f>H56*INDEX(Curve_IAS19!$D$2:$D$101,A56)</f>
        <v/>
      </c>
      <c r="M56">
        <f>IF(A56&lt;=$B$6,1-E56/E55,0)</f>
        <v/>
      </c>
      <c r="N56">
        <f>IF(A56&lt;=$B$6,Inputs_IAS19!$C$19*IF(C56&lt;Inputs_IAS19!$C$22,MAX(0,Inputs_IAS19!$C$20-Inputs_IAS19!$C$21*(C56-35)),0),0)</f>
        <v/>
      </c>
      <c r="O56">
        <f>O55*(1-M56-N56)</f>
        <v/>
      </c>
      <c r="P56">
        <f>O55*N56</f>
        <v/>
      </c>
      <c r="Q56">
        <f>$B$8*(1+Inputs_IAS19!$C$4)^A56</f>
        <v/>
      </c>
      <c r="R56">
        <f>Inputs_IAS19!$C$9*(1+Inputs_IAS19!$C$3)^(A56-1)</f>
        <v/>
      </c>
      <c r="S56">
        <f>MIN($B$7,Inputs_IAS19!$C$12)/Inputs_IAS19!$C$11*MAX(Q56-Inputs_IAS19!$C$10*R56,0)</f>
        <v/>
      </c>
      <c r="T56">
        <f>S56*(1+Inputs_IAS19!$C$5*0.5)*(1+Inputs_IAS19!$C$5)^($B$6-A56)</f>
        <v/>
      </c>
      <c r="U56">
        <f>IF(A56&lt;=$B$6,P56*(1-M56/2)*T56/E56,0)</f>
        <v/>
      </c>
    </row>
    <row r="57">
      <c r="A57" t="n">
        <v>39</v>
      </c>
      <c r="B57">
        <f>Inputs_IAS19!$C$2+A57</f>
        <v/>
      </c>
      <c r="C57">
        <f>$B$5+A57-1</f>
        <v/>
      </c>
      <c r="D57">
        <f>IF(C57&gt;=120,1,MIN(1,IF(A57&lt;=$B$6,IF($B$4="M",Inputs_IAS19!$C$13,Inputs_IAS19!$C$14),IF($B$4="M",Inputs_IAS19!$C$15,Inputs_IAS19!$C$16))*INDEX(ILT!$B$2:$C$122,MIN(C57,120)+1,IF($B$4="M",1,2))*(1-Inputs_IAS19!$C$17)^MAX(B57-Inputs_IAS19!$C$18,0)))</f>
        <v/>
      </c>
      <c r="E57">
        <f>E56*(1-D57)</f>
        <v/>
      </c>
      <c r="F57">
        <f>(E56+E57)/2</f>
        <v/>
      </c>
      <c r="G57">
        <f>IF(A57&lt;$B$6+1,0,IF(A57=$B$6+1,1,G56*(1+IF(B57=Inputs_IAS19!$C$7,Inputs_IAS19!$C$8,Inputs_IAS19!$C$6))))</f>
        <v/>
      </c>
      <c r="H57">
        <f>$B$12*G57*F57</f>
        <v/>
      </c>
      <c r="I57">
        <f>(1+Inputs_IAS19!$C$26)^-(A57-0.5)</f>
        <v/>
      </c>
      <c r="J57">
        <f>H57*I57</f>
        <v/>
      </c>
      <c r="K57">
        <f>H57*INDEX(Curve_IAS19!$D$2:$D$101,A57)</f>
        <v/>
      </c>
      <c r="M57">
        <f>IF(A57&lt;=$B$6,1-E57/E56,0)</f>
        <v/>
      </c>
      <c r="N57">
        <f>IF(A57&lt;=$B$6,Inputs_IAS19!$C$19*IF(C57&lt;Inputs_IAS19!$C$22,MAX(0,Inputs_IAS19!$C$20-Inputs_IAS19!$C$21*(C57-35)),0),0)</f>
        <v/>
      </c>
      <c r="O57">
        <f>O56*(1-M57-N57)</f>
        <v/>
      </c>
      <c r="P57">
        <f>O56*N57</f>
        <v/>
      </c>
      <c r="Q57">
        <f>$B$8*(1+Inputs_IAS19!$C$4)^A57</f>
        <v/>
      </c>
      <c r="R57">
        <f>Inputs_IAS19!$C$9*(1+Inputs_IAS19!$C$3)^(A57-1)</f>
        <v/>
      </c>
      <c r="S57">
        <f>MIN($B$7,Inputs_IAS19!$C$12)/Inputs_IAS19!$C$11*MAX(Q57-Inputs_IAS19!$C$10*R57,0)</f>
        <v/>
      </c>
      <c r="T57">
        <f>S57*(1+Inputs_IAS19!$C$5*0.5)*(1+Inputs_IAS19!$C$5)^($B$6-A57)</f>
        <v/>
      </c>
      <c r="U57">
        <f>IF(A57&lt;=$B$6,P57*(1-M57/2)*T57/E57,0)</f>
        <v/>
      </c>
    </row>
    <row r="58">
      <c r="A58" t="n">
        <v>40</v>
      </c>
      <c r="B58">
        <f>Inputs_IAS19!$C$2+A58</f>
        <v/>
      </c>
      <c r="C58">
        <f>$B$5+A58-1</f>
        <v/>
      </c>
      <c r="D58">
        <f>IF(C58&gt;=120,1,MIN(1,IF(A58&lt;=$B$6,IF($B$4="M",Inputs_IAS19!$C$13,Inputs_IAS19!$C$14),IF($B$4="M",Inputs_IAS19!$C$15,Inputs_IAS19!$C$16))*INDEX(ILT!$B$2:$C$122,MIN(C58,120)+1,IF($B$4="M",1,2))*(1-Inputs_IAS19!$C$17)^MAX(B58-Inputs_IAS19!$C$18,0)))</f>
        <v/>
      </c>
      <c r="E58">
        <f>E57*(1-D58)</f>
        <v/>
      </c>
      <c r="F58">
        <f>(E57+E58)/2</f>
        <v/>
      </c>
      <c r="G58">
        <f>IF(A58&lt;$B$6+1,0,IF(A58=$B$6+1,1,G57*(1+IF(B58=Inputs_IAS19!$C$7,Inputs_IAS19!$C$8,Inputs_IAS19!$C$6))))</f>
        <v/>
      </c>
      <c r="H58">
        <f>$B$12*G58*F58</f>
        <v/>
      </c>
      <c r="I58">
        <f>(1+Inputs_IAS19!$C$26)^-(A58-0.5)</f>
        <v/>
      </c>
      <c r="J58">
        <f>H58*I58</f>
        <v/>
      </c>
      <c r="K58">
        <f>H58*INDEX(Curve_IAS19!$D$2:$D$101,A58)</f>
        <v/>
      </c>
      <c r="M58">
        <f>IF(A58&lt;=$B$6,1-E58/E57,0)</f>
        <v/>
      </c>
      <c r="N58">
        <f>IF(A58&lt;=$B$6,Inputs_IAS19!$C$19*IF(C58&lt;Inputs_IAS19!$C$22,MAX(0,Inputs_IAS19!$C$20-Inputs_IAS19!$C$21*(C58-35)),0),0)</f>
        <v/>
      </c>
      <c r="O58">
        <f>O57*(1-M58-N58)</f>
        <v/>
      </c>
      <c r="P58">
        <f>O57*N58</f>
        <v/>
      </c>
      <c r="Q58">
        <f>$B$8*(1+Inputs_IAS19!$C$4)^A58</f>
        <v/>
      </c>
      <c r="R58">
        <f>Inputs_IAS19!$C$9*(1+Inputs_IAS19!$C$3)^(A58-1)</f>
        <v/>
      </c>
      <c r="S58">
        <f>MIN($B$7,Inputs_IAS19!$C$12)/Inputs_IAS19!$C$11*MAX(Q58-Inputs_IAS19!$C$10*R58,0)</f>
        <v/>
      </c>
      <c r="T58">
        <f>S58*(1+Inputs_IAS19!$C$5*0.5)*(1+Inputs_IAS19!$C$5)^($B$6-A58)</f>
        <v/>
      </c>
      <c r="U58">
        <f>IF(A58&lt;=$B$6,P58*(1-M58/2)*T58/E58,0)</f>
        <v/>
      </c>
    </row>
    <row r="59">
      <c r="A59" t="n">
        <v>41</v>
      </c>
      <c r="B59">
        <f>Inputs_IAS19!$C$2+A59</f>
        <v/>
      </c>
      <c r="C59">
        <f>$B$5+A59-1</f>
        <v/>
      </c>
      <c r="D59">
        <f>IF(C59&gt;=120,1,MIN(1,IF(A59&lt;=$B$6,IF($B$4="M",Inputs_IAS19!$C$13,Inputs_IAS19!$C$14),IF($B$4="M",Inputs_IAS19!$C$15,Inputs_IAS19!$C$16))*INDEX(ILT!$B$2:$C$122,MIN(C59,120)+1,IF($B$4="M",1,2))*(1-Inputs_IAS19!$C$17)^MAX(B59-Inputs_IAS19!$C$18,0)))</f>
        <v/>
      </c>
      <c r="E59">
        <f>E58*(1-D59)</f>
        <v/>
      </c>
      <c r="F59">
        <f>(E58+E59)/2</f>
        <v/>
      </c>
      <c r="G59">
        <f>IF(A59&lt;$B$6+1,0,IF(A59=$B$6+1,1,G58*(1+IF(B59=Inputs_IAS19!$C$7,Inputs_IAS19!$C$8,Inputs_IAS19!$C$6))))</f>
        <v/>
      </c>
      <c r="H59">
        <f>$B$12*G59*F59</f>
        <v/>
      </c>
      <c r="I59">
        <f>(1+Inputs_IAS19!$C$26)^-(A59-0.5)</f>
        <v/>
      </c>
      <c r="J59">
        <f>H59*I59</f>
        <v/>
      </c>
      <c r="K59">
        <f>H59*INDEX(Curve_IAS19!$D$2:$D$101,A59)</f>
        <v/>
      </c>
      <c r="M59">
        <f>IF(A59&lt;=$B$6,1-E59/E58,0)</f>
        <v/>
      </c>
      <c r="N59">
        <f>IF(A59&lt;=$B$6,Inputs_IAS19!$C$19*IF(C59&lt;Inputs_IAS19!$C$22,MAX(0,Inputs_IAS19!$C$20-Inputs_IAS19!$C$21*(C59-35)),0),0)</f>
        <v/>
      </c>
      <c r="O59">
        <f>O58*(1-M59-N59)</f>
        <v/>
      </c>
      <c r="P59">
        <f>O58*N59</f>
        <v/>
      </c>
      <c r="Q59">
        <f>$B$8*(1+Inputs_IAS19!$C$4)^A59</f>
        <v/>
      </c>
      <c r="R59">
        <f>Inputs_IAS19!$C$9*(1+Inputs_IAS19!$C$3)^(A59-1)</f>
        <v/>
      </c>
      <c r="S59">
        <f>MIN($B$7,Inputs_IAS19!$C$12)/Inputs_IAS19!$C$11*MAX(Q59-Inputs_IAS19!$C$10*R59,0)</f>
        <v/>
      </c>
      <c r="T59">
        <f>S59*(1+Inputs_IAS19!$C$5*0.5)*(1+Inputs_IAS19!$C$5)^($B$6-A59)</f>
        <v/>
      </c>
      <c r="U59">
        <f>IF(A59&lt;=$B$6,P59*(1-M59/2)*T59/E59,0)</f>
        <v/>
      </c>
    </row>
    <row r="60">
      <c r="A60" t="n">
        <v>42</v>
      </c>
      <c r="B60">
        <f>Inputs_IAS19!$C$2+A60</f>
        <v/>
      </c>
      <c r="C60">
        <f>$B$5+A60-1</f>
        <v/>
      </c>
      <c r="D60">
        <f>IF(C60&gt;=120,1,MIN(1,IF(A60&lt;=$B$6,IF($B$4="M",Inputs_IAS19!$C$13,Inputs_IAS19!$C$14),IF($B$4="M",Inputs_IAS19!$C$15,Inputs_IAS19!$C$16))*INDEX(ILT!$B$2:$C$122,MIN(C60,120)+1,IF($B$4="M",1,2))*(1-Inputs_IAS19!$C$17)^MAX(B60-Inputs_IAS19!$C$18,0)))</f>
        <v/>
      </c>
      <c r="E60">
        <f>E59*(1-D60)</f>
        <v/>
      </c>
      <c r="F60">
        <f>(E59+E60)/2</f>
        <v/>
      </c>
      <c r="G60">
        <f>IF(A60&lt;$B$6+1,0,IF(A60=$B$6+1,1,G59*(1+IF(B60=Inputs_IAS19!$C$7,Inputs_IAS19!$C$8,Inputs_IAS19!$C$6))))</f>
        <v/>
      </c>
      <c r="H60">
        <f>$B$12*G60*F60</f>
        <v/>
      </c>
      <c r="I60">
        <f>(1+Inputs_IAS19!$C$26)^-(A60-0.5)</f>
        <v/>
      </c>
      <c r="J60">
        <f>H60*I60</f>
        <v/>
      </c>
      <c r="K60">
        <f>H60*INDEX(Curve_IAS19!$D$2:$D$101,A60)</f>
        <v/>
      </c>
      <c r="M60">
        <f>IF(A60&lt;=$B$6,1-E60/E59,0)</f>
        <v/>
      </c>
      <c r="N60">
        <f>IF(A60&lt;=$B$6,Inputs_IAS19!$C$19*IF(C60&lt;Inputs_IAS19!$C$22,MAX(0,Inputs_IAS19!$C$20-Inputs_IAS19!$C$21*(C60-35)),0),0)</f>
        <v/>
      </c>
      <c r="O60">
        <f>O59*(1-M60-N60)</f>
        <v/>
      </c>
      <c r="P60">
        <f>O59*N60</f>
        <v/>
      </c>
      <c r="Q60">
        <f>$B$8*(1+Inputs_IAS19!$C$4)^A60</f>
        <v/>
      </c>
      <c r="R60">
        <f>Inputs_IAS19!$C$9*(1+Inputs_IAS19!$C$3)^(A60-1)</f>
        <v/>
      </c>
      <c r="S60">
        <f>MIN($B$7,Inputs_IAS19!$C$12)/Inputs_IAS19!$C$11*MAX(Q60-Inputs_IAS19!$C$10*R60,0)</f>
        <v/>
      </c>
      <c r="T60">
        <f>S60*(1+Inputs_IAS19!$C$5*0.5)*(1+Inputs_IAS19!$C$5)^($B$6-A60)</f>
        <v/>
      </c>
      <c r="U60">
        <f>IF(A60&lt;=$B$6,P60*(1-M60/2)*T60/E60,0)</f>
        <v/>
      </c>
    </row>
    <row r="61">
      <c r="A61" t="n">
        <v>43</v>
      </c>
      <c r="B61">
        <f>Inputs_IAS19!$C$2+A61</f>
        <v/>
      </c>
      <c r="C61">
        <f>$B$5+A61-1</f>
        <v/>
      </c>
      <c r="D61">
        <f>IF(C61&gt;=120,1,MIN(1,IF(A61&lt;=$B$6,IF($B$4="M",Inputs_IAS19!$C$13,Inputs_IAS19!$C$14),IF($B$4="M",Inputs_IAS19!$C$15,Inputs_IAS19!$C$16))*INDEX(ILT!$B$2:$C$122,MIN(C61,120)+1,IF($B$4="M",1,2))*(1-Inputs_IAS19!$C$17)^MAX(B61-Inputs_IAS19!$C$18,0)))</f>
        <v/>
      </c>
      <c r="E61">
        <f>E60*(1-D61)</f>
        <v/>
      </c>
      <c r="F61">
        <f>(E60+E61)/2</f>
        <v/>
      </c>
      <c r="G61">
        <f>IF(A61&lt;$B$6+1,0,IF(A61=$B$6+1,1,G60*(1+IF(B61=Inputs_IAS19!$C$7,Inputs_IAS19!$C$8,Inputs_IAS19!$C$6))))</f>
        <v/>
      </c>
      <c r="H61">
        <f>$B$12*G61*F61</f>
        <v/>
      </c>
      <c r="I61">
        <f>(1+Inputs_IAS19!$C$26)^-(A61-0.5)</f>
        <v/>
      </c>
      <c r="J61">
        <f>H61*I61</f>
        <v/>
      </c>
      <c r="K61">
        <f>H61*INDEX(Curve_IAS19!$D$2:$D$101,A61)</f>
        <v/>
      </c>
      <c r="M61">
        <f>IF(A61&lt;=$B$6,1-E61/E60,0)</f>
        <v/>
      </c>
      <c r="N61">
        <f>IF(A61&lt;=$B$6,Inputs_IAS19!$C$19*IF(C61&lt;Inputs_IAS19!$C$22,MAX(0,Inputs_IAS19!$C$20-Inputs_IAS19!$C$21*(C61-35)),0),0)</f>
        <v/>
      </c>
      <c r="O61">
        <f>O60*(1-M61-N61)</f>
        <v/>
      </c>
      <c r="P61">
        <f>O60*N61</f>
        <v/>
      </c>
      <c r="Q61">
        <f>$B$8*(1+Inputs_IAS19!$C$4)^A61</f>
        <v/>
      </c>
      <c r="R61">
        <f>Inputs_IAS19!$C$9*(1+Inputs_IAS19!$C$3)^(A61-1)</f>
        <v/>
      </c>
      <c r="S61">
        <f>MIN($B$7,Inputs_IAS19!$C$12)/Inputs_IAS19!$C$11*MAX(Q61-Inputs_IAS19!$C$10*R61,0)</f>
        <v/>
      </c>
      <c r="T61">
        <f>S61*(1+Inputs_IAS19!$C$5*0.5)*(1+Inputs_IAS19!$C$5)^($B$6-A61)</f>
        <v/>
      </c>
      <c r="U61">
        <f>IF(A61&lt;=$B$6,P61*(1-M61/2)*T61/E61,0)</f>
        <v/>
      </c>
    </row>
    <row r="62">
      <c r="A62" t="n">
        <v>44</v>
      </c>
      <c r="B62">
        <f>Inputs_IAS19!$C$2+A62</f>
        <v/>
      </c>
      <c r="C62">
        <f>$B$5+A62-1</f>
        <v/>
      </c>
      <c r="D62">
        <f>IF(C62&gt;=120,1,MIN(1,IF(A62&lt;=$B$6,IF($B$4="M",Inputs_IAS19!$C$13,Inputs_IAS19!$C$14),IF($B$4="M",Inputs_IAS19!$C$15,Inputs_IAS19!$C$16))*INDEX(ILT!$B$2:$C$122,MIN(C62,120)+1,IF($B$4="M",1,2))*(1-Inputs_IAS19!$C$17)^MAX(B62-Inputs_IAS19!$C$18,0)))</f>
        <v/>
      </c>
      <c r="E62">
        <f>E61*(1-D62)</f>
        <v/>
      </c>
      <c r="F62">
        <f>(E61+E62)/2</f>
        <v/>
      </c>
      <c r="G62">
        <f>IF(A62&lt;$B$6+1,0,IF(A62=$B$6+1,1,G61*(1+IF(B62=Inputs_IAS19!$C$7,Inputs_IAS19!$C$8,Inputs_IAS19!$C$6))))</f>
        <v/>
      </c>
      <c r="H62">
        <f>$B$12*G62*F62</f>
        <v/>
      </c>
      <c r="I62">
        <f>(1+Inputs_IAS19!$C$26)^-(A62-0.5)</f>
        <v/>
      </c>
      <c r="J62">
        <f>H62*I62</f>
        <v/>
      </c>
      <c r="K62">
        <f>H62*INDEX(Curve_IAS19!$D$2:$D$101,A62)</f>
        <v/>
      </c>
      <c r="M62">
        <f>IF(A62&lt;=$B$6,1-E62/E61,0)</f>
        <v/>
      </c>
      <c r="N62">
        <f>IF(A62&lt;=$B$6,Inputs_IAS19!$C$19*IF(C62&lt;Inputs_IAS19!$C$22,MAX(0,Inputs_IAS19!$C$20-Inputs_IAS19!$C$21*(C62-35)),0),0)</f>
        <v/>
      </c>
      <c r="O62">
        <f>O61*(1-M62-N62)</f>
        <v/>
      </c>
      <c r="P62">
        <f>O61*N62</f>
        <v/>
      </c>
      <c r="Q62">
        <f>$B$8*(1+Inputs_IAS19!$C$4)^A62</f>
        <v/>
      </c>
      <c r="R62">
        <f>Inputs_IAS19!$C$9*(1+Inputs_IAS19!$C$3)^(A62-1)</f>
        <v/>
      </c>
      <c r="S62">
        <f>MIN($B$7,Inputs_IAS19!$C$12)/Inputs_IAS19!$C$11*MAX(Q62-Inputs_IAS19!$C$10*R62,0)</f>
        <v/>
      </c>
      <c r="T62">
        <f>S62*(1+Inputs_IAS19!$C$5*0.5)*(1+Inputs_IAS19!$C$5)^($B$6-A62)</f>
        <v/>
      </c>
      <c r="U62">
        <f>IF(A62&lt;=$B$6,P62*(1-M62/2)*T62/E62,0)</f>
        <v/>
      </c>
    </row>
    <row r="63">
      <c r="A63" t="n">
        <v>45</v>
      </c>
      <c r="B63">
        <f>Inputs_IAS19!$C$2+A63</f>
        <v/>
      </c>
      <c r="C63">
        <f>$B$5+A63-1</f>
        <v/>
      </c>
      <c r="D63">
        <f>IF(C63&gt;=120,1,MIN(1,IF(A63&lt;=$B$6,IF($B$4="M",Inputs_IAS19!$C$13,Inputs_IAS19!$C$14),IF($B$4="M",Inputs_IAS19!$C$15,Inputs_IAS19!$C$16))*INDEX(ILT!$B$2:$C$122,MIN(C63,120)+1,IF($B$4="M",1,2))*(1-Inputs_IAS19!$C$17)^MAX(B63-Inputs_IAS19!$C$18,0)))</f>
        <v/>
      </c>
      <c r="E63">
        <f>E62*(1-D63)</f>
        <v/>
      </c>
      <c r="F63">
        <f>(E62+E63)/2</f>
        <v/>
      </c>
      <c r="G63">
        <f>IF(A63&lt;$B$6+1,0,IF(A63=$B$6+1,1,G62*(1+IF(B63=Inputs_IAS19!$C$7,Inputs_IAS19!$C$8,Inputs_IAS19!$C$6))))</f>
        <v/>
      </c>
      <c r="H63">
        <f>$B$12*G63*F63</f>
        <v/>
      </c>
      <c r="I63">
        <f>(1+Inputs_IAS19!$C$26)^-(A63-0.5)</f>
        <v/>
      </c>
      <c r="J63">
        <f>H63*I63</f>
        <v/>
      </c>
      <c r="K63">
        <f>H63*INDEX(Curve_IAS19!$D$2:$D$101,A63)</f>
        <v/>
      </c>
      <c r="M63">
        <f>IF(A63&lt;=$B$6,1-E63/E62,0)</f>
        <v/>
      </c>
      <c r="N63">
        <f>IF(A63&lt;=$B$6,Inputs_IAS19!$C$19*IF(C63&lt;Inputs_IAS19!$C$22,MAX(0,Inputs_IAS19!$C$20-Inputs_IAS19!$C$21*(C63-35)),0),0)</f>
        <v/>
      </c>
      <c r="O63">
        <f>O62*(1-M63-N63)</f>
        <v/>
      </c>
      <c r="P63">
        <f>O62*N63</f>
        <v/>
      </c>
      <c r="Q63">
        <f>$B$8*(1+Inputs_IAS19!$C$4)^A63</f>
        <v/>
      </c>
      <c r="R63">
        <f>Inputs_IAS19!$C$9*(1+Inputs_IAS19!$C$3)^(A63-1)</f>
        <v/>
      </c>
      <c r="S63">
        <f>MIN($B$7,Inputs_IAS19!$C$12)/Inputs_IAS19!$C$11*MAX(Q63-Inputs_IAS19!$C$10*R63,0)</f>
        <v/>
      </c>
      <c r="T63">
        <f>S63*(1+Inputs_IAS19!$C$5*0.5)*(1+Inputs_IAS19!$C$5)^($B$6-A63)</f>
        <v/>
      </c>
      <c r="U63">
        <f>IF(A63&lt;=$B$6,P63*(1-M63/2)*T63/E63,0)</f>
        <v/>
      </c>
    </row>
    <row r="64">
      <c r="A64" t="n">
        <v>46</v>
      </c>
      <c r="B64">
        <f>Inputs_IAS19!$C$2+A64</f>
        <v/>
      </c>
      <c r="C64">
        <f>$B$5+A64-1</f>
        <v/>
      </c>
      <c r="D64">
        <f>IF(C64&gt;=120,1,MIN(1,IF(A64&lt;=$B$6,IF($B$4="M",Inputs_IAS19!$C$13,Inputs_IAS19!$C$14),IF($B$4="M",Inputs_IAS19!$C$15,Inputs_IAS19!$C$16))*INDEX(ILT!$B$2:$C$122,MIN(C64,120)+1,IF($B$4="M",1,2))*(1-Inputs_IAS19!$C$17)^MAX(B64-Inputs_IAS19!$C$18,0)))</f>
        <v/>
      </c>
      <c r="E64">
        <f>E63*(1-D64)</f>
        <v/>
      </c>
      <c r="F64">
        <f>(E63+E64)/2</f>
        <v/>
      </c>
      <c r="G64">
        <f>IF(A64&lt;$B$6+1,0,IF(A64=$B$6+1,1,G63*(1+IF(B64=Inputs_IAS19!$C$7,Inputs_IAS19!$C$8,Inputs_IAS19!$C$6))))</f>
        <v/>
      </c>
      <c r="H64">
        <f>$B$12*G64*F64</f>
        <v/>
      </c>
      <c r="I64">
        <f>(1+Inputs_IAS19!$C$26)^-(A64-0.5)</f>
        <v/>
      </c>
      <c r="J64">
        <f>H64*I64</f>
        <v/>
      </c>
      <c r="K64">
        <f>H64*INDEX(Curve_IAS19!$D$2:$D$101,A64)</f>
        <v/>
      </c>
      <c r="M64">
        <f>IF(A64&lt;=$B$6,1-E64/E63,0)</f>
        <v/>
      </c>
      <c r="N64">
        <f>IF(A64&lt;=$B$6,Inputs_IAS19!$C$19*IF(C64&lt;Inputs_IAS19!$C$22,MAX(0,Inputs_IAS19!$C$20-Inputs_IAS19!$C$21*(C64-35)),0),0)</f>
        <v/>
      </c>
      <c r="O64">
        <f>O63*(1-M64-N64)</f>
        <v/>
      </c>
      <c r="P64">
        <f>O63*N64</f>
        <v/>
      </c>
      <c r="Q64">
        <f>$B$8*(1+Inputs_IAS19!$C$4)^A64</f>
        <v/>
      </c>
      <c r="R64">
        <f>Inputs_IAS19!$C$9*(1+Inputs_IAS19!$C$3)^(A64-1)</f>
        <v/>
      </c>
      <c r="S64">
        <f>MIN($B$7,Inputs_IAS19!$C$12)/Inputs_IAS19!$C$11*MAX(Q64-Inputs_IAS19!$C$10*R64,0)</f>
        <v/>
      </c>
      <c r="T64">
        <f>S64*(1+Inputs_IAS19!$C$5*0.5)*(1+Inputs_IAS19!$C$5)^($B$6-A64)</f>
        <v/>
      </c>
      <c r="U64">
        <f>IF(A64&lt;=$B$6,P64*(1-M64/2)*T64/E64,0)</f>
        <v/>
      </c>
    </row>
    <row r="65">
      <c r="A65" t="n">
        <v>47</v>
      </c>
      <c r="B65">
        <f>Inputs_IAS19!$C$2+A65</f>
        <v/>
      </c>
      <c r="C65">
        <f>$B$5+A65-1</f>
        <v/>
      </c>
      <c r="D65">
        <f>IF(C65&gt;=120,1,MIN(1,IF(A65&lt;=$B$6,IF($B$4="M",Inputs_IAS19!$C$13,Inputs_IAS19!$C$14),IF($B$4="M",Inputs_IAS19!$C$15,Inputs_IAS19!$C$16))*INDEX(ILT!$B$2:$C$122,MIN(C65,120)+1,IF($B$4="M",1,2))*(1-Inputs_IAS19!$C$17)^MAX(B65-Inputs_IAS19!$C$18,0)))</f>
        <v/>
      </c>
      <c r="E65">
        <f>E64*(1-D65)</f>
        <v/>
      </c>
      <c r="F65">
        <f>(E64+E65)/2</f>
        <v/>
      </c>
      <c r="G65">
        <f>IF(A65&lt;$B$6+1,0,IF(A65=$B$6+1,1,G64*(1+IF(B65=Inputs_IAS19!$C$7,Inputs_IAS19!$C$8,Inputs_IAS19!$C$6))))</f>
        <v/>
      </c>
      <c r="H65">
        <f>$B$12*G65*F65</f>
        <v/>
      </c>
      <c r="I65">
        <f>(1+Inputs_IAS19!$C$26)^-(A65-0.5)</f>
        <v/>
      </c>
      <c r="J65">
        <f>H65*I65</f>
        <v/>
      </c>
      <c r="K65">
        <f>H65*INDEX(Curve_IAS19!$D$2:$D$101,A65)</f>
        <v/>
      </c>
      <c r="M65">
        <f>IF(A65&lt;=$B$6,1-E65/E64,0)</f>
        <v/>
      </c>
      <c r="N65">
        <f>IF(A65&lt;=$B$6,Inputs_IAS19!$C$19*IF(C65&lt;Inputs_IAS19!$C$22,MAX(0,Inputs_IAS19!$C$20-Inputs_IAS19!$C$21*(C65-35)),0),0)</f>
        <v/>
      </c>
      <c r="O65">
        <f>O64*(1-M65-N65)</f>
        <v/>
      </c>
      <c r="P65">
        <f>O64*N65</f>
        <v/>
      </c>
      <c r="Q65">
        <f>$B$8*(1+Inputs_IAS19!$C$4)^A65</f>
        <v/>
      </c>
      <c r="R65">
        <f>Inputs_IAS19!$C$9*(1+Inputs_IAS19!$C$3)^(A65-1)</f>
        <v/>
      </c>
      <c r="S65">
        <f>MIN($B$7,Inputs_IAS19!$C$12)/Inputs_IAS19!$C$11*MAX(Q65-Inputs_IAS19!$C$10*R65,0)</f>
        <v/>
      </c>
      <c r="T65">
        <f>S65*(1+Inputs_IAS19!$C$5*0.5)*(1+Inputs_IAS19!$C$5)^($B$6-A65)</f>
        <v/>
      </c>
      <c r="U65">
        <f>IF(A65&lt;=$B$6,P65*(1-M65/2)*T65/E65,0)</f>
        <v/>
      </c>
    </row>
    <row r="66">
      <c r="A66" t="n">
        <v>48</v>
      </c>
      <c r="B66">
        <f>Inputs_IAS19!$C$2+A66</f>
        <v/>
      </c>
      <c r="C66">
        <f>$B$5+A66-1</f>
        <v/>
      </c>
      <c r="D66">
        <f>IF(C66&gt;=120,1,MIN(1,IF(A66&lt;=$B$6,IF($B$4="M",Inputs_IAS19!$C$13,Inputs_IAS19!$C$14),IF($B$4="M",Inputs_IAS19!$C$15,Inputs_IAS19!$C$16))*INDEX(ILT!$B$2:$C$122,MIN(C66,120)+1,IF($B$4="M",1,2))*(1-Inputs_IAS19!$C$17)^MAX(B66-Inputs_IAS19!$C$18,0)))</f>
        <v/>
      </c>
      <c r="E66">
        <f>E65*(1-D66)</f>
        <v/>
      </c>
      <c r="F66">
        <f>(E65+E66)/2</f>
        <v/>
      </c>
      <c r="G66">
        <f>IF(A66&lt;$B$6+1,0,IF(A66=$B$6+1,1,G65*(1+IF(B66=Inputs_IAS19!$C$7,Inputs_IAS19!$C$8,Inputs_IAS19!$C$6))))</f>
        <v/>
      </c>
      <c r="H66">
        <f>$B$12*G66*F66</f>
        <v/>
      </c>
      <c r="I66">
        <f>(1+Inputs_IAS19!$C$26)^-(A66-0.5)</f>
        <v/>
      </c>
      <c r="J66">
        <f>H66*I66</f>
        <v/>
      </c>
      <c r="K66">
        <f>H66*INDEX(Curve_IAS19!$D$2:$D$101,A66)</f>
        <v/>
      </c>
      <c r="M66">
        <f>IF(A66&lt;=$B$6,1-E66/E65,0)</f>
        <v/>
      </c>
      <c r="N66">
        <f>IF(A66&lt;=$B$6,Inputs_IAS19!$C$19*IF(C66&lt;Inputs_IAS19!$C$22,MAX(0,Inputs_IAS19!$C$20-Inputs_IAS19!$C$21*(C66-35)),0),0)</f>
        <v/>
      </c>
      <c r="O66">
        <f>O65*(1-M66-N66)</f>
        <v/>
      </c>
      <c r="P66">
        <f>O65*N66</f>
        <v/>
      </c>
      <c r="Q66">
        <f>$B$8*(1+Inputs_IAS19!$C$4)^A66</f>
        <v/>
      </c>
      <c r="R66">
        <f>Inputs_IAS19!$C$9*(1+Inputs_IAS19!$C$3)^(A66-1)</f>
        <v/>
      </c>
      <c r="S66">
        <f>MIN($B$7,Inputs_IAS19!$C$12)/Inputs_IAS19!$C$11*MAX(Q66-Inputs_IAS19!$C$10*R66,0)</f>
        <v/>
      </c>
      <c r="T66">
        <f>S66*(1+Inputs_IAS19!$C$5*0.5)*(1+Inputs_IAS19!$C$5)^($B$6-A66)</f>
        <v/>
      </c>
      <c r="U66">
        <f>IF(A66&lt;=$B$6,P66*(1-M66/2)*T66/E66,0)</f>
        <v/>
      </c>
    </row>
    <row r="67">
      <c r="A67" t="n">
        <v>49</v>
      </c>
      <c r="B67">
        <f>Inputs_IAS19!$C$2+A67</f>
        <v/>
      </c>
      <c r="C67">
        <f>$B$5+A67-1</f>
        <v/>
      </c>
      <c r="D67">
        <f>IF(C67&gt;=120,1,MIN(1,IF(A67&lt;=$B$6,IF($B$4="M",Inputs_IAS19!$C$13,Inputs_IAS19!$C$14),IF($B$4="M",Inputs_IAS19!$C$15,Inputs_IAS19!$C$16))*INDEX(ILT!$B$2:$C$122,MIN(C67,120)+1,IF($B$4="M",1,2))*(1-Inputs_IAS19!$C$17)^MAX(B67-Inputs_IAS19!$C$18,0)))</f>
        <v/>
      </c>
      <c r="E67">
        <f>E66*(1-D67)</f>
        <v/>
      </c>
      <c r="F67">
        <f>(E66+E67)/2</f>
        <v/>
      </c>
      <c r="G67">
        <f>IF(A67&lt;$B$6+1,0,IF(A67=$B$6+1,1,G66*(1+IF(B67=Inputs_IAS19!$C$7,Inputs_IAS19!$C$8,Inputs_IAS19!$C$6))))</f>
        <v/>
      </c>
      <c r="H67">
        <f>$B$12*G67*F67</f>
        <v/>
      </c>
      <c r="I67">
        <f>(1+Inputs_IAS19!$C$26)^-(A67-0.5)</f>
        <v/>
      </c>
      <c r="J67">
        <f>H67*I67</f>
        <v/>
      </c>
      <c r="K67">
        <f>H67*INDEX(Curve_IAS19!$D$2:$D$101,A67)</f>
        <v/>
      </c>
      <c r="M67">
        <f>IF(A67&lt;=$B$6,1-E67/E66,0)</f>
        <v/>
      </c>
      <c r="N67">
        <f>IF(A67&lt;=$B$6,Inputs_IAS19!$C$19*IF(C67&lt;Inputs_IAS19!$C$22,MAX(0,Inputs_IAS19!$C$20-Inputs_IAS19!$C$21*(C67-35)),0),0)</f>
        <v/>
      </c>
      <c r="O67">
        <f>O66*(1-M67-N67)</f>
        <v/>
      </c>
      <c r="P67">
        <f>O66*N67</f>
        <v/>
      </c>
      <c r="Q67">
        <f>$B$8*(1+Inputs_IAS19!$C$4)^A67</f>
        <v/>
      </c>
      <c r="R67">
        <f>Inputs_IAS19!$C$9*(1+Inputs_IAS19!$C$3)^(A67-1)</f>
        <v/>
      </c>
      <c r="S67">
        <f>MIN($B$7,Inputs_IAS19!$C$12)/Inputs_IAS19!$C$11*MAX(Q67-Inputs_IAS19!$C$10*R67,0)</f>
        <v/>
      </c>
      <c r="T67">
        <f>S67*(1+Inputs_IAS19!$C$5*0.5)*(1+Inputs_IAS19!$C$5)^($B$6-A67)</f>
        <v/>
      </c>
      <c r="U67">
        <f>IF(A67&lt;=$B$6,P67*(1-M67/2)*T67/E67,0)</f>
        <v/>
      </c>
    </row>
    <row r="68">
      <c r="A68" t="n">
        <v>50</v>
      </c>
      <c r="B68">
        <f>Inputs_IAS19!$C$2+A68</f>
        <v/>
      </c>
      <c r="C68">
        <f>$B$5+A68-1</f>
        <v/>
      </c>
      <c r="D68">
        <f>IF(C68&gt;=120,1,MIN(1,IF(A68&lt;=$B$6,IF($B$4="M",Inputs_IAS19!$C$13,Inputs_IAS19!$C$14),IF($B$4="M",Inputs_IAS19!$C$15,Inputs_IAS19!$C$16))*INDEX(ILT!$B$2:$C$122,MIN(C68,120)+1,IF($B$4="M",1,2))*(1-Inputs_IAS19!$C$17)^MAX(B68-Inputs_IAS19!$C$18,0)))</f>
        <v/>
      </c>
      <c r="E68">
        <f>E67*(1-D68)</f>
        <v/>
      </c>
      <c r="F68">
        <f>(E67+E68)/2</f>
        <v/>
      </c>
      <c r="G68">
        <f>IF(A68&lt;$B$6+1,0,IF(A68=$B$6+1,1,G67*(1+IF(B68=Inputs_IAS19!$C$7,Inputs_IAS19!$C$8,Inputs_IAS19!$C$6))))</f>
        <v/>
      </c>
      <c r="H68">
        <f>$B$12*G68*F68</f>
        <v/>
      </c>
      <c r="I68">
        <f>(1+Inputs_IAS19!$C$26)^-(A68-0.5)</f>
        <v/>
      </c>
      <c r="J68">
        <f>H68*I68</f>
        <v/>
      </c>
      <c r="K68">
        <f>H68*INDEX(Curve_IAS19!$D$2:$D$101,A68)</f>
        <v/>
      </c>
      <c r="M68">
        <f>IF(A68&lt;=$B$6,1-E68/E67,0)</f>
        <v/>
      </c>
      <c r="N68">
        <f>IF(A68&lt;=$B$6,Inputs_IAS19!$C$19*IF(C68&lt;Inputs_IAS19!$C$22,MAX(0,Inputs_IAS19!$C$20-Inputs_IAS19!$C$21*(C68-35)),0),0)</f>
        <v/>
      </c>
      <c r="O68">
        <f>O67*(1-M68-N68)</f>
        <v/>
      </c>
      <c r="P68">
        <f>O67*N68</f>
        <v/>
      </c>
      <c r="Q68">
        <f>$B$8*(1+Inputs_IAS19!$C$4)^A68</f>
        <v/>
      </c>
      <c r="R68">
        <f>Inputs_IAS19!$C$9*(1+Inputs_IAS19!$C$3)^(A68-1)</f>
        <v/>
      </c>
      <c r="S68">
        <f>MIN($B$7,Inputs_IAS19!$C$12)/Inputs_IAS19!$C$11*MAX(Q68-Inputs_IAS19!$C$10*R68,0)</f>
        <v/>
      </c>
      <c r="T68">
        <f>S68*(1+Inputs_IAS19!$C$5*0.5)*(1+Inputs_IAS19!$C$5)^($B$6-A68)</f>
        <v/>
      </c>
      <c r="U68">
        <f>IF(A68&lt;=$B$6,P68*(1-M68/2)*T68/E68,0)</f>
        <v/>
      </c>
    </row>
    <row r="69">
      <c r="A69" t="n">
        <v>51</v>
      </c>
      <c r="B69">
        <f>Inputs_IAS19!$C$2+A69</f>
        <v/>
      </c>
      <c r="C69">
        <f>$B$5+A69-1</f>
        <v/>
      </c>
      <c r="D69">
        <f>IF(C69&gt;=120,1,MIN(1,IF(A69&lt;=$B$6,IF($B$4="M",Inputs_IAS19!$C$13,Inputs_IAS19!$C$14),IF($B$4="M",Inputs_IAS19!$C$15,Inputs_IAS19!$C$16))*INDEX(ILT!$B$2:$C$122,MIN(C69,120)+1,IF($B$4="M",1,2))*(1-Inputs_IAS19!$C$17)^MAX(B69-Inputs_IAS19!$C$18,0)))</f>
        <v/>
      </c>
      <c r="E69">
        <f>E68*(1-D69)</f>
        <v/>
      </c>
      <c r="F69">
        <f>(E68+E69)/2</f>
        <v/>
      </c>
      <c r="G69">
        <f>IF(A69&lt;$B$6+1,0,IF(A69=$B$6+1,1,G68*(1+IF(B69=Inputs_IAS19!$C$7,Inputs_IAS19!$C$8,Inputs_IAS19!$C$6))))</f>
        <v/>
      </c>
      <c r="H69">
        <f>$B$12*G69*F69</f>
        <v/>
      </c>
      <c r="I69">
        <f>(1+Inputs_IAS19!$C$26)^-(A69-0.5)</f>
        <v/>
      </c>
      <c r="J69">
        <f>H69*I69</f>
        <v/>
      </c>
      <c r="K69">
        <f>H69*INDEX(Curve_IAS19!$D$2:$D$101,A69)</f>
        <v/>
      </c>
      <c r="M69">
        <f>IF(A69&lt;=$B$6,1-E69/E68,0)</f>
        <v/>
      </c>
      <c r="N69">
        <f>IF(A69&lt;=$B$6,Inputs_IAS19!$C$19*IF(C69&lt;Inputs_IAS19!$C$22,MAX(0,Inputs_IAS19!$C$20-Inputs_IAS19!$C$21*(C69-35)),0),0)</f>
        <v/>
      </c>
      <c r="O69">
        <f>O68*(1-M69-N69)</f>
        <v/>
      </c>
      <c r="P69">
        <f>O68*N69</f>
        <v/>
      </c>
      <c r="Q69">
        <f>$B$8*(1+Inputs_IAS19!$C$4)^A69</f>
        <v/>
      </c>
      <c r="R69">
        <f>Inputs_IAS19!$C$9*(1+Inputs_IAS19!$C$3)^(A69-1)</f>
        <v/>
      </c>
      <c r="S69">
        <f>MIN($B$7,Inputs_IAS19!$C$12)/Inputs_IAS19!$C$11*MAX(Q69-Inputs_IAS19!$C$10*R69,0)</f>
        <v/>
      </c>
      <c r="T69">
        <f>S69*(1+Inputs_IAS19!$C$5*0.5)*(1+Inputs_IAS19!$C$5)^($B$6-A69)</f>
        <v/>
      </c>
      <c r="U69">
        <f>IF(A69&lt;=$B$6,P69*(1-M69/2)*T69/E69,0)</f>
        <v/>
      </c>
    </row>
    <row r="70">
      <c r="A70" t="n">
        <v>52</v>
      </c>
      <c r="B70">
        <f>Inputs_IAS19!$C$2+A70</f>
        <v/>
      </c>
      <c r="C70">
        <f>$B$5+A70-1</f>
        <v/>
      </c>
      <c r="D70">
        <f>IF(C70&gt;=120,1,MIN(1,IF(A70&lt;=$B$6,IF($B$4="M",Inputs_IAS19!$C$13,Inputs_IAS19!$C$14),IF($B$4="M",Inputs_IAS19!$C$15,Inputs_IAS19!$C$16))*INDEX(ILT!$B$2:$C$122,MIN(C70,120)+1,IF($B$4="M",1,2))*(1-Inputs_IAS19!$C$17)^MAX(B70-Inputs_IAS19!$C$18,0)))</f>
        <v/>
      </c>
      <c r="E70">
        <f>E69*(1-D70)</f>
        <v/>
      </c>
      <c r="F70">
        <f>(E69+E70)/2</f>
        <v/>
      </c>
      <c r="G70">
        <f>IF(A70&lt;$B$6+1,0,IF(A70=$B$6+1,1,G69*(1+IF(B70=Inputs_IAS19!$C$7,Inputs_IAS19!$C$8,Inputs_IAS19!$C$6))))</f>
        <v/>
      </c>
      <c r="H70">
        <f>$B$12*G70*F70</f>
        <v/>
      </c>
      <c r="I70">
        <f>(1+Inputs_IAS19!$C$26)^-(A70-0.5)</f>
        <v/>
      </c>
      <c r="J70">
        <f>H70*I70</f>
        <v/>
      </c>
      <c r="K70">
        <f>H70*INDEX(Curve_IAS19!$D$2:$D$101,A70)</f>
        <v/>
      </c>
      <c r="M70">
        <f>IF(A70&lt;=$B$6,1-E70/E69,0)</f>
        <v/>
      </c>
      <c r="N70">
        <f>IF(A70&lt;=$B$6,Inputs_IAS19!$C$19*IF(C70&lt;Inputs_IAS19!$C$22,MAX(0,Inputs_IAS19!$C$20-Inputs_IAS19!$C$21*(C70-35)),0),0)</f>
        <v/>
      </c>
      <c r="O70">
        <f>O69*(1-M70-N70)</f>
        <v/>
      </c>
      <c r="P70">
        <f>O69*N70</f>
        <v/>
      </c>
      <c r="Q70">
        <f>$B$8*(1+Inputs_IAS19!$C$4)^A70</f>
        <v/>
      </c>
      <c r="R70">
        <f>Inputs_IAS19!$C$9*(1+Inputs_IAS19!$C$3)^(A70-1)</f>
        <v/>
      </c>
      <c r="S70">
        <f>MIN($B$7,Inputs_IAS19!$C$12)/Inputs_IAS19!$C$11*MAX(Q70-Inputs_IAS19!$C$10*R70,0)</f>
        <v/>
      </c>
      <c r="T70">
        <f>S70*(1+Inputs_IAS19!$C$5*0.5)*(1+Inputs_IAS19!$C$5)^($B$6-A70)</f>
        <v/>
      </c>
      <c r="U70">
        <f>IF(A70&lt;=$B$6,P70*(1-M70/2)*T70/E70,0)</f>
        <v/>
      </c>
    </row>
    <row r="71">
      <c r="A71" t="n">
        <v>53</v>
      </c>
      <c r="B71">
        <f>Inputs_IAS19!$C$2+A71</f>
        <v/>
      </c>
      <c r="C71">
        <f>$B$5+A71-1</f>
        <v/>
      </c>
      <c r="D71">
        <f>IF(C71&gt;=120,1,MIN(1,IF(A71&lt;=$B$6,IF($B$4="M",Inputs_IAS19!$C$13,Inputs_IAS19!$C$14),IF($B$4="M",Inputs_IAS19!$C$15,Inputs_IAS19!$C$16))*INDEX(ILT!$B$2:$C$122,MIN(C71,120)+1,IF($B$4="M",1,2))*(1-Inputs_IAS19!$C$17)^MAX(B71-Inputs_IAS19!$C$18,0)))</f>
        <v/>
      </c>
      <c r="E71">
        <f>E70*(1-D71)</f>
        <v/>
      </c>
      <c r="F71">
        <f>(E70+E71)/2</f>
        <v/>
      </c>
      <c r="G71">
        <f>IF(A71&lt;$B$6+1,0,IF(A71=$B$6+1,1,G70*(1+IF(B71=Inputs_IAS19!$C$7,Inputs_IAS19!$C$8,Inputs_IAS19!$C$6))))</f>
        <v/>
      </c>
      <c r="H71">
        <f>$B$12*G71*F71</f>
        <v/>
      </c>
      <c r="I71">
        <f>(1+Inputs_IAS19!$C$26)^-(A71-0.5)</f>
        <v/>
      </c>
      <c r="J71">
        <f>H71*I71</f>
        <v/>
      </c>
      <c r="K71">
        <f>H71*INDEX(Curve_IAS19!$D$2:$D$101,A71)</f>
        <v/>
      </c>
      <c r="M71">
        <f>IF(A71&lt;=$B$6,1-E71/E70,0)</f>
        <v/>
      </c>
      <c r="N71">
        <f>IF(A71&lt;=$B$6,Inputs_IAS19!$C$19*IF(C71&lt;Inputs_IAS19!$C$22,MAX(0,Inputs_IAS19!$C$20-Inputs_IAS19!$C$21*(C71-35)),0),0)</f>
        <v/>
      </c>
      <c r="O71">
        <f>O70*(1-M71-N71)</f>
        <v/>
      </c>
      <c r="P71">
        <f>O70*N71</f>
        <v/>
      </c>
      <c r="Q71">
        <f>$B$8*(1+Inputs_IAS19!$C$4)^A71</f>
        <v/>
      </c>
      <c r="R71">
        <f>Inputs_IAS19!$C$9*(1+Inputs_IAS19!$C$3)^(A71-1)</f>
        <v/>
      </c>
      <c r="S71">
        <f>MIN($B$7,Inputs_IAS19!$C$12)/Inputs_IAS19!$C$11*MAX(Q71-Inputs_IAS19!$C$10*R71,0)</f>
        <v/>
      </c>
      <c r="T71">
        <f>S71*(1+Inputs_IAS19!$C$5*0.5)*(1+Inputs_IAS19!$C$5)^($B$6-A71)</f>
        <v/>
      </c>
      <c r="U71">
        <f>IF(A71&lt;=$B$6,P71*(1-M71/2)*T71/E71,0)</f>
        <v/>
      </c>
    </row>
    <row r="72">
      <c r="A72" t="n">
        <v>54</v>
      </c>
      <c r="B72">
        <f>Inputs_IAS19!$C$2+A72</f>
        <v/>
      </c>
      <c r="C72">
        <f>$B$5+A72-1</f>
        <v/>
      </c>
      <c r="D72">
        <f>IF(C72&gt;=120,1,MIN(1,IF(A72&lt;=$B$6,IF($B$4="M",Inputs_IAS19!$C$13,Inputs_IAS19!$C$14),IF($B$4="M",Inputs_IAS19!$C$15,Inputs_IAS19!$C$16))*INDEX(ILT!$B$2:$C$122,MIN(C72,120)+1,IF($B$4="M",1,2))*(1-Inputs_IAS19!$C$17)^MAX(B72-Inputs_IAS19!$C$18,0)))</f>
        <v/>
      </c>
      <c r="E72">
        <f>E71*(1-D72)</f>
        <v/>
      </c>
      <c r="F72">
        <f>(E71+E72)/2</f>
        <v/>
      </c>
      <c r="G72">
        <f>IF(A72&lt;$B$6+1,0,IF(A72=$B$6+1,1,G71*(1+IF(B72=Inputs_IAS19!$C$7,Inputs_IAS19!$C$8,Inputs_IAS19!$C$6))))</f>
        <v/>
      </c>
      <c r="H72">
        <f>$B$12*G72*F72</f>
        <v/>
      </c>
      <c r="I72">
        <f>(1+Inputs_IAS19!$C$26)^-(A72-0.5)</f>
        <v/>
      </c>
      <c r="J72">
        <f>H72*I72</f>
        <v/>
      </c>
      <c r="K72">
        <f>H72*INDEX(Curve_IAS19!$D$2:$D$101,A72)</f>
        <v/>
      </c>
      <c r="M72">
        <f>IF(A72&lt;=$B$6,1-E72/E71,0)</f>
        <v/>
      </c>
      <c r="N72">
        <f>IF(A72&lt;=$B$6,Inputs_IAS19!$C$19*IF(C72&lt;Inputs_IAS19!$C$22,MAX(0,Inputs_IAS19!$C$20-Inputs_IAS19!$C$21*(C72-35)),0),0)</f>
        <v/>
      </c>
      <c r="O72">
        <f>O71*(1-M72-N72)</f>
        <v/>
      </c>
      <c r="P72">
        <f>O71*N72</f>
        <v/>
      </c>
      <c r="Q72">
        <f>$B$8*(1+Inputs_IAS19!$C$4)^A72</f>
        <v/>
      </c>
      <c r="R72">
        <f>Inputs_IAS19!$C$9*(1+Inputs_IAS19!$C$3)^(A72-1)</f>
        <v/>
      </c>
      <c r="S72">
        <f>MIN($B$7,Inputs_IAS19!$C$12)/Inputs_IAS19!$C$11*MAX(Q72-Inputs_IAS19!$C$10*R72,0)</f>
        <v/>
      </c>
      <c r="T72">
        <f>S72*(1+Inputs_IAS19!$C$5*0.5)*(1+Inputs_IAS19!$C$5)^($B$6-A72)</f>
        <v/>
      </c>
      <c r="U72">
        <f>IF(A72&lt;=$B$6,P72*(1-M72/2)*T72/E72,0)</f>
        <v/>
      </c>
    </row>
    <row r="73">
      <c r="A73" t="n">
        <v>55</v>
      </c>
      <c r="B73">
        <f>Inputs_IAS19!$C$2+A73</f>
        <v/>
      </c>
      <c r="C73">
        <f>$B$5+A73-1</f>
        <v/>
      </c>
      <c r="D73">
        <f>IF(C73&gt;=120,1,MIN(1,IF(A73&lt;=$B$6,IF($B$4="M",Inputs_IAS19!$C$13,Inputs_IAS19!$C$14),IF($B$4="M",Inputs_IAS19!$C$15,Inputs_IAS19!$C$16))*INDEX(ILT!$B$2:$C$122,MIN(C73,120)+1,IF($B$4="M",1,2))*(1-Inputs_IAS19!$C$17)^MAX(B73-Inputs_IAS19!$C$18,0)))</f>
        <v/>
      </c>
      <c r="E73">
        <f>E72*(1-D73)</f>
        <v/>
      </c>
      <c r="F73">
        <f>(E72+E73)/2</f>
        <v/>
      </c>
      <c r="G73">
        <f>IF(A73&lt;$B$6+1,0,IF(A73=$B$6+1,1,G72*(1+IF(B73=Inputs_IAS19!$C$7,Inputs_IAS19!$C$8,Inputs_IAS19!$C$6))))</f>
        <v/>
      </c>
      <c r="H73">
        <f>$B$12*G73*F73</f>
        <v/>
      </c>
      <c r="I73">
        <f>(1+Inputs_IAS19!$C$26)^-(A73-0.5)</f>
        <v/>
      </c>
      <c r="J73">
        <f>H73*I73</f>
        <v/>
      </c>
      <c r="K73">
        <f>H73*INDEX(Curve_IAS19!$D$2:$D$101,A73)</f>
        <v/>
      </c>
      <c r="M73">
        <f>IF(A73&lt;=$B$6,1-E73/E72,0)</f>
        <v/>
      </c>
      <c r="N73">
        <f>IF(A73&lt;=$B$6,Inputs_IAS19!$C$19*IF(C73&lt;Inputs_IAS19!$C$22,MAX(0,Inputs_IAS19!$C$20-Inputs_IAS19!$C$21*(C73-35)),0),0)</f>
        <v/>
      </c>
      <c r="O73">
        <f>O72*(1-M73-N73)</f>
        <v/>
      </c>
      <c r="P73">
        <f>O72*N73</f>
        <v/>
      </c>
      <c r="Q73">
        <f>$B$8*(1+Inputs_IAS19!$C$4)^A73</f>
        <v/>
      </c>
      <c r="R73">
        <f>Inputs_IAS19!$C$9*(1+Inputs_IAS19!$C$3)^(A73-1)</f>
        <v/>
      </c>
      <c r="S73">
        <f>MIN($B$7,Inputs_IAS19!$C$12)/Inputs_IAS19!$C$11*MAX(Q73-Inputs_IAS19!$C$10*R73,0)</f>
        <v/>
      </c>
      <c r="T73">
        <f>S73*(1+Inputs_IAS19!$C$5*0.5)*(1+Inputs_IAS19!$C$5)^($B$6-A73)</f>
        <v/>
      </c>
      <c r="U73">
        <f>IF(A73&lt;=$B$6,P73*(1-M73/2)*T73/E73,0)</f>
        <v/>
      </c>
    </row>
    <row r="74">
      <c r="A74" t="n">
        <v>56</v>
      </c>
      <c r="B74">
        <f>Inputs_IAS19!$C$2+A74</f>
        <v/>
      </c>
      <c r="C74">
        <f>$B$5+A74-1</f>
        <v/>
      </c>
      <c r="D74">
        <f>IF(C74&gt;=120,1,MIN(1,IF(A74&lt;=$B$6,IF($B$4="M",Inputs_IAS19!$C$13,Inputs_IAS19!$C$14),IF($B$4="M",Inputs_IAS19!$C$15,Inputs_IAS19!$C$16))*INDEX(ILT!$B$2:$C$122,MIN(C74,120)+1,IF($B$4="M",1,2))*(1-Inputs_IAS19!$C$17)^MAX(B74-Inputs_IAS19!$C$18,0)))</f>
        <v/>
      </c>
      <c r="E74">
        <f>E73*(1-D74)</f>
        <v/>
      </c>
      <c r="F74">
        <f>(E73+E74)/2</f>
        <v/>
      </c>
      <c r="G74">
        <f>IF(A74&lt;$B$6+1,0,IF(A74=$B$6+1,1,G73*(1+IF(B74=Inputs_IAS19!$C$7,Inputs_IAS19!$C$8,Inputs_IAS19!$C$6))))</f>
        <v/>
      </c>
      <c r="H74">
        <f>$B$12*G74*F74</f>
        <v/>
      </c>
      <c r="I74">
        <f>(1+Inputs_IAS19!$C$26)^-(A74-0.5)</f>
        <v/>
      </c>
      <c r="J74">
        <f>H74*I74</f>
        <v/>
      </c>
      <c r="K74">
        <f>H74*INDEX(Curve_IAS19!$D$2:$D$101,A74)</f>
        <v/>
      </c>
      <c r="M74">
        <f>IF(A74&lt;=$B$6,1-E74/E73,0)</f>
        <v/>
      </c>
      <c r="N74">
        <f>IF(A74&lt;=$B$6,Inputs_IAS19!$C$19*IF(C74&lt;Inputs_IAS19!$C$22,MAX(0,Inputs_IAS19!$C$20-Inputs_IAS19!$C$21*(C74-35)),0),0)</f>
        <v/>
      </c>
      <c r="O74">
        <f>O73*(1-M74-N74)</f>
        <v/>
      </c>
      <c r="P74">
        <f>O73*N74</f>
        <v/>
      </c>
      <c r="Q74">
        <f>$B$8*(1+Inputs_IAS19!$C$4)^A74</f>
        <v/>
      </c>
      <c r="R74">
        <f>Inputs_IAS19!$C$9*(1+Inputs_IAS19!$C$3)^(A74-1)</f>
        <v/>
      </c>
      <c r="S74">
        <f>MIN($B$7,Inputs_IAS19!$C$12)/Inputs_IAS19!$C$11*MAX(Q74-Inputs_IAS19!$C$10*R74,0)</f>
        <v/>
      </c>
      <c r="T74">
        <f>S74*(1+Inputs_IAS19!$C$5*0.5)*(1+Inputs_IAS19!$C$5)^($B$6-A74)</f>
        <v/>
      </c>
      <c r="U74">
        <f>IF(A74&lt;=$B$6,P74*(1-M74/2)*T74/E74,0)</f>
        <v/>
      </c>
    </row>
    <row r="75">
      <c r="A75" t="n">
        <v>57</v>
      </c>
      <c r="B75">
        <f>Inputs_IAS19!$C$2+A75</f>
        <v/>
      </c>
      <c r="C75">
        <f>$B$5+A75-1</f>
        <v/>
      </c>
      <c r="D75">
        <f>IF(C75&gt;=120,1,MIN(1,IF(A75&lt;=$B$6,IF($B$4="M",Inputs_IAS19!$C$13,Inputs_IAS19!$C$14),IF($B$4="M",Inputs_IAS19!$C$15,Inputs_IAS19!$C$16))*INDEX(ILT!$B$2:$C$122,MIN(C75,120)+1,IF($B$4="M",1,2))*(1-Inputs_IAS19!$C$17)^MAX(B75-Inputs_IAS19!$C$18,0)))</f>
        <v/>
      </c>
      <c r="E75">
        <f>E74*(1-D75)</f>
        <v/>
      </c>
      <c r="F75">
        <f>(E74+E75)/2</f>
        <v/>
      </c>
      <c r="G75">
        <f>IF(A75&lt;$B$6+1,0,IF(A75=$B$6+1,1,G74*(1+IF(B75=Inputs_IAS19!$C$7,Inputs_IAS19!$C$8,Inputs_IAS19!$C$6))))</f>
        <v/>
      </c>
      <c r="H75">
        <f>$B$12*G75*F75</f>
        <v/>
      </c>
      <c r="I75">
        <f>(1+Inputs_IAS19!$C$26)^-(A75-0.5)</f>
        <v/>
      </c>
      <c r="J75">
        <f>H75*I75</f>
        <v/>
      </c>
      <c r="K75">
        <f>H75*INDEX(Curve_IAS19!$D$2:$D$101,A75)</f>
        <v/>
      </c>
      <c r="M75">
        <f>IF(A75&lt;=$B$6,1-E75/E74,0)</f>
        <v/>
      </c>
      <c r="N75">
        <f>IF(A75&lt;=$B$6,Inputs_IAS19!$C$19*IF(C75&lt;Inputs_IAS19!$C$22,MAX(0,Inputs_IAS19!$C$20-Inputs_IAS19!$C$21*(C75-35)),0),0)</f>
        <v/>
      </c>
      <c r="O75">
        <f>O74*(1-M75-N75)</f>
        <v/>
      </c>
      <c r="P75">
        <f>O74*N75</f>
        <v/>
      </c>
      <c r="Q75">
        <f>$B$8*(1+Inputs_IAS19!$C$4)^A75</f>
        <v/>
      </c>
      <c r="R75">
        <f>Inputs_IAS19!$C$9*(1+Inputs_IAS19!$C$3)^(A75-1)</f>
        <v/>
      </c>
      <c r="S75">
        <f>MIN($B$7,Inputs_IAS19!$C$12)/Inputs_IAS19!$C$11*MAX(Q75-Inputs_IAS19!$C$10*R75,0)</f>
        <v/>
      </c>
      <c r="T75">
        <f>S75*(1+Inputs_IAS19!$C$5*0.5)*(1+Inputs_IAS19!$C$5)^($B$6-A75)</f>
        <v/>
      </c>
      <c r="U75">
        <f>IF(A75&lt;=$B$6,P75*(1-M75/2)*T75/E75,0)</f>
        <v/>
      </c>
    </row>
    <row r="76">
      <c r="A76" t="n">
        <v>58</v>
      </c>
      <c r="B76">
        <f>Inputs_IAS19!$C$2+A76</f>
        <v/>
      </c>
      <c r="C76">
        <f>$B$5+A76-1</f>
        <v/>
      </c>
      <c r="D76">
        <f>IF(C76&gt;=120,1,MIN(1,IF(A76&lt;=$B$6,IF($B$4="M",Inputs_IAS19!$C$13,Inputs_IAS19!$C$14),IF($B$4="M",Inputs_IAS19!$C$15,Inputs_IAS19!$C$16))*INDEX(ILT!$B$2:$C$122,MIN(C76,120)+1,IF($B$4="M",1,2))*(1-Inputs_IAS19!$C$17)^MAX(B76-Inputs_IAS19!$C$18,0)))</f>
        <v/>
      </c>
      <c r="E76">
        <f>E75*(1-D76)</f>
        <v/>
      </c>
      <c r="F76">
        <f>(E75+E76)/2</f>
        <v/>
      </c>
      <c r="G76">
        <f>IF(A76&lt;$B$6+1,0,IF(A76=$B$6+1,1,G75*(1+IF(B76=Inputs_IAS19!$C$7,Inputs_IAS19!$C$8,Inputs_IAS19!$C$6))))</f>
        <v/>
      </c>
      <c r="H76">
        <f>$B$12*G76*F76</f>
        <v/>
      </c>
      <c r="I76">
        <f>(1+Inputs_IAS19!$C$26)^-(A76-0.5)</f>
        <v/>
      </c>
      <c r="J76">
        <f>H76*I76</f>
        <v/>
      </c>
      <c r="K76">
        <f>H76*INDEX(Curve_IAS19!$D$2:$D$101,A76)</f>
        <v/>
      </c>
      <c r="M76">
        <f>IF(A76&lt;=$B$6,1-E76/E75,0)</f>
        <v/>
      </c>
      <c r="N76">
        <f>IF(A76&lt;=$B$6,Inputs_IAS19!$C$19*IF(C76&lt;Inputs_IAS19!$C$22,MAX(0,Inputs_IAS19!$C$20-Inputs_IAS19!$C$21*(C76-35)),0),0)</f>
        <v/>
      </c>
      <c r="O76">
        <f>O75*(1-M76-N76)</f>
        <v/>
      </c>
      <c r="P76">
        <f>O75*N76</f>
        <v/>
      </c>
      <c r="Q76">
        <f>$B$8*(1+Inputs_IAS19!$C$4)^A76</f>
        <v/>
      </c>
      <c r="R76">
        <f>Inputs_IAS19!$C$9*(1+Inputs_IAS19!$C$3)^(A76-1)</f>
        <v/>
      </c>
      <c r="S76">
        <f>MIN($B$7,Inputs_IAS19!$C$12)/Inputs_IAS19!$C$11*MAX(Q76-Inputs_IAS19!$C$10*R76,0)</f>
        <v/>
      </c>
      <c r="T76">
        <f>S76*(1+Inputs_IAS19!$C$5*0.5)*(1+Inputs_IAS19!$C$5)^($B$6-A76)</f>
        <v/>
      </c>
      <c r="U76">
        <f>IF(A76&lt;=$B$6,P76*(1-M76/2)*T76/E76,0)</f>
        <v/>
      </c>
    </row>
    <row r="77">
      <c r="A77" t="n">
        <v>59</v>
      </c>
      <c r="B77">
        <f>Inputs_IAS19!$C$2+A77</f>
        <v/>
      </c>
      <c r="C77">
        <f>$B$5+A77-1</f>
        <v/>
      </c>
      <c r="D77">
        <f>IF(C77&gt;=120,1,MIN(1,IF(A77&lt;=$B$6,IF($B$4="M",Inputs_IAS19!$C$13,Inputs_IAS19!$C$14),IF($B$4="M",Inputs_IAS19!$C$15,Inputs_IAS19!$C$16))*INDEX(ILT!$B$2:$C$122,MIN(C77,120)+1,IF($B$4="M",1,2))*(1-Inputs_IAS19!$C$17)^MAX(B77-Inputs_IAS19!$C$18,0)))</f>
        <v/>
      </c>
      <c r="E77">
        <f>E76*(1-D77)</f>
        <v/>
      </c>
      <c r="F77">
        <f>(E76+E77)/2</f>
        <v/>
      </c>
      <c r="G77">
        <f>IF(A77&lt;$B$6+1,0,IF(A77=$B$6+1,1,G76*(1+IF(B77=Inputs_IAS19!$C$7,Inputs_IAS19!$C$8,Inputs_IAS19!$C$6))))</f>
        <v/>
      </c>
      <c r="H77">
        <f>$B$12*G77*F77</f>
        <v/>
      </c>
      <c r="I77">
        <f>(1+Inputs_IAS19!$C$26)^-(A77-0.5)</f>
        <v/>
      </c>
      <c r="J77">
        <f>H77*I77</f>
        <v/>
      </c>
      <c r="K77">
        <f>H77*INDEX(Curve_IAS19!$D$2:$D$101,A77)</f>
        <v/>
      </c>
      <c r="M77">
        <f>IF(A77&lt;=$B$6,1-E77/E76,0)</f>
        <v/>
      </c>
      <c r="N77">
        <f>IF(A77&lt;=$B$6,Inputs_IAS19!$C$19*IF(C77&lt;Inputs_IAS19!$C$22,MAX(0,Inputs_IAS19!$C$20-Inputs_IAS19!$C$21*(C77-35)),0),0)</f>
        <v/>
      </c>
      <c r="O77">
        <f>O76*(1-M77-N77)</f>
        <v/>
      </c>
      <c r="P77">
        <f>O76*N77</f>
        <v/>
      </c>
      <c r="Q77">
        <f>$B$8*(1+Inputs_IAS19!$C$4)^A77</f>
        <v/>
      </c>
      <c r="R77">
        <f>Inputs_IAS19!$C$9*(1+Inputs_IAS19!$C$3)^(A77-1)</f>
        <v/>
      </c>
      <c r="S77">
        <f>MIN($B$7,Inputs_IAS19!$C$12)/Inputs_IAS19!$C$11*MAX(Q77-Inputs_IAS19!$C$10*R77,0)</f>
        <v/>
      </c>
      <c r="T77">
        <f>S77*(1+Inputs_IAS19!$C$5*0.5)*(1+Inputs_IAS19!$C$5)^($B$6-A77)</f>
        <v/>
      </c>
      <c r="U77">
        <f>IF(A77&lt;=$B$6,P77*(1-M77/2)*T77/E77,0)</f>
        <v/>
      </c>
    </row>
    <row r="78">
      <c r="A78" t="n">
        <v>60</v>
      </c>
      <c r="B78">
        <f>Inputs_IAS19!$C$2+A78</f>
        <v/>
      </c>
      <c r="C78">
        <f>$B$5+A78-1</f>
        <v/>
      </c>
      <c r="D78">
        <f>IF(C78&gt;=120,1,MIN(1,IF(A78&lt;=$B$6,IF($B$4="M",Inputs_IAS19!$C$13,Inputs_IAS19!$C$14),IF($B$4="M",Inputs_IAS19!$C$15,Inputs_IAS19!$C$16))*INDEX(ILT!$B$2:$C$122,MIN(C78,120)+1,IF($B$4="M",1,2))*(1-Inputs_IAS19!$C$17)^MAX(B78-Inputs_IAS19!$C$18,0)))</f>
        <v/>
      </c>
      <c r="E78">
        <f>E77*(1-D78)</f>
        <v/>
      </c>
      <c r="F78">
        <f>(E77+E78)/2</f>
        <v/>
      </c>
      <c r="G78">
        <f>IF(A78&lt;$B$6+1,0,IF(A78=$B$6+1,1,G77*(1+IF(B78=Inputs_IAS19!$C$7,Inputs_IAS19!$C$8,Inputs_IAS19!$C$6))))</f>
        <v/>
      </c>
      <c r="H78">
        <f>$B$12*G78*F78</f>
        <v/>
      </c>
      <c r="I78">
        <f>(1+Inputs_IAS19!$C$26)^-(A78-0.5)</f>
        <v/>
      </c>
      <c r="J78">
        <f>H78*I78</f>
        <v/>
      </c>
      <c r="K78">
        <f>H78*INDEX(Curve_IAS19!$D$2:$D$101,A78)</f>
        <v/>
      </c>
      <c r="M78">
        <f>IF(A78&lt;=$B$6,1-E78/E77,0)</f>
        <v/>
      </c>
      <c r="N78">
        <f>IF(A78&lt;=$B$6,Inputs_IAS19!$C$19*IF(C78&lt;Inputs_IAS19!$C$22,MAX(0,Inputs_IAS19!$C$20-Inputs_IAS19!$C$21*(C78-35)),0),0)</f>
        <v/>
      </c>
      <c r="O78">
        <f>O77*(1-M78-N78)</f>
        <v/>
      </c>
      <c r="P78">
        <f>O77*N78</f>
        <v/>
      </c>
      <c r="Q78">
        <f>$B$8*(1+Inputs_IAS19!$C$4)^A78</f>
        <v/>
      </c>
      <c r="R78">
        <f>Inputs_IAS19!$C$9*(1+Inputs_IAS19!$C$3)^(A78-1)</f>
        <v/>
      </c>
      <c r="S78">
        <f>MIN($B$7,Inputs_IAS19!$C$12)/Inputs_IAS19!$C$11*MAX(Q78-Inputs_IAS19!$C$10*R78,0)</f>
        <v/>
      </c>
      <c r="T78">
        <f>S78*(1+Inputs_IAS19!$C$5*0.5)*(1+Inputs_IAS19!$C$5)^($B$6-A78)</f>
        <v/>
      </c>
      <c r="U78">
        <f>IF(A78&lt;=$B$6,P78*(1-M78/2)*T78/E78,0)</f>
        <v/>
      </c>
    </row>
    <row r="79">
      <c r="A79" t="n">
        <v>61</v>
      </c>
      <c r="B79">
        <f>Inputs_IAS19!$C$2+A79</f>
        <v/>
      </c>
      <c r="C79">
        <f>$B$5+A79-1</f>
        <v/>
      </c>
      <c r="D79">
        <f>IF(C79&gt;=120,1,MIN(1,IF(A79&lt;=$B$6,IF($B$4="M",Inputs_IAS19!$C$13,Inputs_IAS19!$C$14),IF($B$4="M",Inputs_IAS19!$C$15,Inputs_IAS19!$C$16))*INDEX(ILT!$B$2:$C$122,MIN(C79,120)+1,IF($B$4="M",1,2))*(1-Inputs_IAS19!$C$17)^MAX(B79-Inputs_IAS19!$C$18,0)))</f>
        <v/>
      </c>
      <c r="E79">
        <f>E78*(1-D79)</f>
        <v/>
      </c>
      <c r="F79">
        <f>(E78+E79)/2</f>
        <v/>
      </c>
      <c r="G79">
        <f>IF(A79&lt;$B$6+1,0,IF(A79=$B$6+1,1,G78*(1+IF(B79=Inputs_IAS19!$C$7,Inputs_IAS19!$C$8,Inputs_IAS19!$C$6))))</f>
        <v/>
      </c>
      <c r="H79">
        <f>$B$12*G79*F79</f>
        <v/>
      </c>
      <c r="I79">
        <f>(1+Inputs_IAS19!$C$26)^-(A79-0.5)</f>
        <v/>
      </c>
      <c r="J79">
        <f>H79*I79</f>
        <v/>
      </c>
      <c r="K79">
        <f>H79*INDEX(Curve_IAS19!$D$2:$D$101,A79)</f>
        <v/>
      </c>
      <c r="M79">
        <f>IF(A79&lt;=$B$6,1-E79/E78,0)</f>
        <v/>
      </c>
      <c r="N79">
        <f>IF(A79&lt;=$B$6,Inputs_IAS19!$C$19*IF(C79&lt;Inputs_IAS19!$C$22,MAX(0,Inputs_IAS19!$C$20-Inputs_IAS19!$C$21*(C79-35)),0),0)</f>
        <v/>
      </c>
      <c r="O79">
        <f>O78*(1-M79-N79)</f>
        <v/>
      </c>
      <c r="P79">
        <f>O78*N79</f>
        <v/>
      </c>
      <c r="Q79">
        <f>$B$8*(1+Inputs_IAS19!$C$4)^A79</f>
        <v/>
      </c>
      <c r="R79">
        <f>Inputs_IAS19!$C$9*(1+Inputs_IAS19!$C$3)^(A79-1)</f>
        <v/>
      </c>
      <c r="S79">
        <f>MIN($B$7,Inputs_IAS19!$C$12)/Inputs_IAS19!$C$11*MAX(Q79-Inputs_IAS19!$C$10*R79,0)</f>
        <v/>
      </c>
      <c r="T79">
        <f>S79*(1+Inputs_IAS19!$C$5*0.5)*(1+Inputs_IAS19!$C$5)^($B$6-A79)</f>
        <v/>
      </c>
      <c r="U79">
        <f>IF(A79&lt;=$B$6,P79*(1-M79/2)*T79/E79,0)</f>
        <v/>
      </c>
    </row>
    <row r="80">
      <c r="A80" t="n">
        <v>62</v>
      </c>
      <c r="B80">
        <f>Inputs_IAS19!$C$2+A80</f>
        <v/>
      </c>
      <c r="C80">
        <f>$B$5+A80-1</f>
        <v/>
      </c>
      <c r="D80">
        <f>IF(C80&gt;=120,1,MIN(1,IF(A80&lt;=$B$6,IF($B$4="M",Inputs_IAS19!$C$13,Inputs_IAS19!$C$14),IF($B$4="M",Inputs_IAS19!$C$15,Inputs_IAS19!$C$16))*INDEX(ILT!$B$2:$C$122,MIN(C80,120)+1,IF($B$4="M",1,2))*(1-Inputs_IAS19!$C$17)^MAX(B80-Inputs_IAS19!$C$18,0)))</f>
        <v/>
      </c>
      <c r="E80">
        <f>E79*(1-D80)</f>
        <v/>
      </c>
      <c r="F80">
        <f>(E79+E80)/2</f>
        <v/>
      </c>
      <c r="G80">
        <f>IF(A80&lt;$B$6+1,0,IF(A80=$B$6+1,1,G79*(1+IF(B80=Inputs_IAS19!$C$7,Inputs_IAS19!$C$8,Inputs_IAS19!$C$6))))</f>
        <v/>
      </c>
      <c r="H80">
        <f>$B$12*G80*F80</f>
        <v/>
      </c>
      <c r="I80">
        <f>(1+Inputs_IAS19!$C$26)^-(A80-0.5)</f>
        <v/>
      </c>
      <c r="J80">
        <f>H80*I80</f>
        <v/>
      </c>
      <c r="K80">
        <f>H80*INDEX(Curve_IAS19!$D$2:$D$101,A80)</f>
        <v/>
      </c>
      <c r="M80">
        <f>IF(A80&lt;=$B$6,1-E80/E79,0)</f>
        <v/>
      </c>
      <c r="N80">
        <f>IF(A80&lt;=$B$6,Inputs_IAS19!$C$19*IF(C80&lt;Inputs_IAS19!$C$22,MAX(0,Inputs_IAS19!$C$20-Inputs_IAS19!$C$21*(C80-35)),0),0)</f>
        <v/>
      </c>
      <c r="O80">
        <f>O79*(1-M80-N80)</f>
        <v/>
      </c>
      <c r="P80">
        <f>O79*N80</f>
        <v/>
      </c>
      <c r="Q80">
        <f>$B$8*(1+Inputs_IAS19!$C$4)^A80</f>
        <v/>
      </c>
      <c r="R80">
        <f>Inputs_IAS19!$C$9*(1+Inputs_IAS19!$C$3)^(A80-1)</f>
        <v/>
      </c>
      <c r="S80">
        <f>MIN($B$7,Inputs_IAS19!$C$12)/Inputs_IAS19!$C$11*MAX(Q80-Inputs_IAS19!$C$10*R80,0)</f>
        <v/>
      </c>
      <c r="T80">
        <f>S80*(1+Inputs_IAS19!$C$5*0.5)*(1+Inputs_IAS19!$C$5)^($B$6-A80)</f>
        <v/>
      </c>
      <c r="U80">
        <f>IF(A80&lt;=$B$6,P80*(1-M80/2)*T80/E80,0)</f>
        <v/>
      </c>
    </row>
    <row r="81">
      <c r="A81" t="n">
        <v>63</v>
      </c>
      <c r="B81">
        <f>Inputs_IAS19!$C$2+A81</f>
        <v/>
      </c>
      <c r="C81">
        <f>$B$5+A81-1</f>
        <v/>
      </c>
      <c r="D81">
        <f>IF(C81&gt;=120,1,MIN(1,IF(A81&lt;=$B$6,IF($B$4="M",Inputs_IAS19!$C$13,Inputs_IAS19!$C$14),IF($B$4="M",Inputs_IAS19!$C$15,Inputs_IAS19!$C$16))*INDEX(ILT!$B$2:$C$122,MIN(C81,120)+1,IF($B$4="M",1,2))*(1-Inputs_IAS19!$C$17)^MAX(B81-Inputs_IAS19!$C$18,0)))</f>
        <v/>
      </c>
      <c r="E81">
        <f>E80*(1-D81)</f>
        <v/>
      </c>
      <c r="F81">
        <f>(E80+E81)/2</f>
        <v/>
      </c>
      <c r="G81">
        <f>IF(A81&lt;$B$6+1,0,IF(A81=$B$6+1,1,G80*(1+IF(B81=Inputs_IAS19!$C$7,Inputs_IAS19!$C$8,Inputs_IAS19!$C$6))))</f>
        <v/>
      </c>
      <c r="H81">
        <f>$B$12*G81*F81</f>
        <v/>
      </c>
      <c r="I81">
        <f>(1+Inputs_IAS19!$C$26)^-(A81-0.5)</f>
        <v/>
      </c>
      <c r="J81">
        <f>H81*I81</f>
        <v/>
      </c>
      <c r="K81">
        <f>H81*INDEX(Curve_IAS19!$D$2:$D$101,A81)</f>
        <v/>
      </c>
      <c r="M81">
        <f>IF(A81&lt;=$B$6,1-E81/E80,0)</f>
        <v/>
      </c>
      <c r="N81">
        <f>IF(A81&lt;=$B$6,Inputs_IAS19!$C$19*IF(C81&lt;Inputs_IAS19!$C$22,MAX(0,Inputs_IAS19!$C$20-Inputs_IAS19!$C$21*(C81-35)),0),0)</f>
        <v/>
      </c>
      <c r="O81">
        <f>O80*(1-M81-N81)</f>
        <v/>
      </c>
      <c r="P81">
        <f>O80*N81</f>
        <v/>
      </c>
      <c r="Q81">
        <f>$B$8*(1+Inputs_IAS19!$C$4)^A81</f>
        <v/>
      </c>
      <c r="R81">
        <f>Inputs_IAS19!$C$9*(1+Inputs_IAS19!$C$3)^(A81-1)</f>
        <v/>
      </c>
      <c r="S81">
        <f>MIN($B$7,Inputs_IAS19!$C$12)/Inputs_IAS19!$C$11*MAX(Q81-Inputs_IAS19!$C$10*R81,0)</f>
        <v/>
      </c>
      <c r="T81">
        <f>S81*(1+Inputs_IAS19!$C$5*0.5)*(1+Inputs_IAS19!$C$5)^($B$6-A81)</f>
        <v/>
      </c>
      <c r="U81">
        <f>IF(A81&lt;=$B$6,P81*(1-M81/2)*T81/E81,0)</f>
        <v/>
      </c>
    </row>
    <row r="82">
      <c r="A82" t="n">
        <v>64</v>
      </c>
      <c r="B82">
        <f>Inputs_IAS19!$C$2+A82</f>
        <v/>
      </c>
      <c r="C82">
        <f>$B$5+A82-1</f>
        <v/>
      </c>
      <c r="D82">
        <f>IF(C82&gt;=120,1,MIN(1,IF(A82&lt;=$B$6,IF($B$4="M",Inputs_IAS19!$C$13,Inputs_IAS19!$C$14),IF($B$4="M",Inputs_IAS19!$C$15,Inputs_IAS19!$C$16))*INDEX(ILT!$B$2:$C$122,MIN(C82,120)+1,IF($B$4="M",1,2))*(1-Inputs_IAS19!$C$17)^MAX(B82-Inputs_IAS19!$C$18,0)))</f>
        <v/>
      </c>
      <c r="E82">
        <f>E81*(1-D82)</f>
        <v/>
      </c>
      <c r="F82">
        <f>(E81+E82)/2</f>
        <v/>
      </c>
      <c r="G82">
        <f>IF(A82&lt;$B$6+1,0,IF(A82=$B$6+1,1,G81*(1+IF(B82=Inputs_IAS19!$C$7,Inputs_IAS19!$C$8,Inputs_IAS19!$C$6))))</f>
        <v/>
      </c>
      <c r="H82">
        <f>$B$12*G82*F82</f>
        <v/>
      </c>
      <c r="I82">
        <f>(1+Inputs_IAS19!$C$26)^-(A82-0.5)</f>
        <v/>
      </c>
      <c r="J82">
        <f>H82*I82</f>
        <v/>
      </c>
      <c r="K82">
        <f>H82*INDEX(Curve_IAS19!$D$2:$D$101,A82)</f>
        <v/>
      </c>
      <c r="M82">
        <f>IF(A82&lt;=$B$6,1-E82/E81,0)</f>
        <v/>
      </c>
      <c r="N82">
        <f>IF(A82&lt;=$B$6,Inputs_IAS19!$C$19*IF(C82&lt;Inputs_IAS19!$C$22,MAX(0,Inputs_IAS19!$C$20-Inputs_IAS19!$C$21*(C82-35)),0),0)</f>
        <v/>
      </c>
      <c r="O82">
        <f>O81*(1-M82-N82)</f>
        <v/>
      </c>
      <c r="P82">
        <f>O81*N82</f>
        <v/>
      </c>
      <c r="Q82">
        <f>$B$8*(1+Inputs_IAS19!$C$4)^A82</f>
        <v/>
      </c>
      <c r="R82">
        <f>Inputs_IAS19!$C$9*(1+Inputs_IAS19!$C$3)^(A82-1)</f>
        <v/>
      </c>
      <c r="S82">
        <f>MIN($B$7,Inputs_IAS19!$C$12)/Inputs_IAS19!$C$11*MAX(Q82-Inputs_IAS19!$C$10*R82,0)</f>
        <v/>
      </c>
      <c r="T82">
        <f>S82*(1+Inputs_IAS19!$C$5*0.5)*(1+Inputs_IAS19!$C$5)^($B$6-A82)</f>
        <v/>
      </c>
      <c r="U82">
        <f>IF(A82&lt;=$B$6,P82*(1-M82/2)*T82/E82,0)</f>
        <v/>
      </c>
    </row>
    <row r="83">
      <c r="A83" t="n">
        <v>65</v>
      </c>
      <c r="B83">
        <f>Inputs_IAS19!$C$2+A83</f>
        <v/>
      </c>
      <c r="C83">
        <f>$B$5+A83-1</f>
        <v/>
      </c>
      <c r="D83">
        <f>IF(C83&gt;=120,1,MIN(1,IF(A83&lt;=$B$6,IF($B$4="M",Inputs_IAS19!$C$13,Inputs_IAS19!$C$14),IF($B$4="M",Inputs_IAS19!$C$15,Inputs_IAS19!$C$16))*INDEX(ILT!$B$2:$C$122,MIN(C83,120)+1,IF($B$4="M",1,2))*(1-Inputs_IAS19!$C$17)^MAX(B83-Inputs_IAS19!$C$18,0)))</f>
        <v/>
      </c>
      <c r="E83">
        <f>E82*(1-D83)</f>
        <v/>
      </c>
      <c r="F83">
        <f>(E82+E83)/2</f>
        <v/>
      </c>
      <c r="G83">
        <f>IF(A83&lt;$B$6+1,0,IF(A83=$B$6+1,1,G82*(1+IF(B83=Inputs_IAS19!$C$7,Inputs_IAS19!$C$8,Inputs_IAS19!$C$6))))</f>
        <v/>
      </c>
      <c r="H83">
        <f>$B$12*G83*F83</f>
        <v/>
      </c>
      <c r="I83">
        <f>(1+Inputs_IAS19!$C$26)^-(A83-0.5)</f>
        <v/>
      </c>
      <c r="J83">
        <f>H83*I83</f>
        <v/>
      </c>
      <c r="K83">
        <f>H83*INDEX(Curve_IAS19!$D$2:$D$101,A83)</f>
        <v/>
      </c>
      <c r="M83">
        <f>IF(A83&lt;=$B$6,1-E83/E82,0)</f>
        <v/>
      </c>
      <c r="N83">
        <f>IF(A83&lt;=$B$6,Inputs_IAS19!$C$19*IF(C83&lt;Inputs_IAS19!$C$22,MAX(0,Inputs_IAS19!$C$20-Inputs_IAS19!$C$21*(C83-35)),0),0)</f>
        <v/>
      </c>
      <c r="O83">
        <f>O82*(1-M83-N83)</f>
        <v/>
      </c>
      <c r="P83">
        <f>O82*N83</f>
        <v/>
      </c>
      <c r="Q83">
        <f>$B$8*(1+Inputs_IAS19!$C$4)^A83</f>
        <v/>
      </c>
      <c r="R83">
        <f>Inputs_IAS19!$C$9*(1+Inputs_IAS19!$C$3)^(A83-1)</f>
        <v/>
      </c>
      <c r="S83">
        <f>MIN($B$7,Inputs_IAS19!$C$12)/Inputs_IAS19!$C$11*MAX(Q83-Inputs_IAS19!$C$10*R83,0)</f>
        <v/>
      </c>
      <c r="T83">
        <f>S83*(1+Inputs_IAS19!$C$5*0.5)*(1+Inputs_IAS19!$C$5)^($B$6-A83)</f>
        <v/>
      </c>
      <c r="U83">
        <f>IF(A83&lt;=$B$6,P83*(1-M83/2)*T83/E83,0)</f>
        <v/>
      </c>
    </row>
    <row r="84">
      <c r="A84" t="n">
        <v>66</v>
      </c>
      <c r="B84">
        <f>Inputs_IAS19!$C$2+A84</f>
        <v/>
      </c>
      <c r="C84">
        <f>$B$5+A84-1</f>
        <v/>
      </c>
      <c r="D84">
        <f>IF(C84&gt;=120,1,MIN(1,IF(A84&lt;=$B$6,IF($B$4="M",Inputs_IAS19!$C$13,Inputs_IAS19!$C$14),IF($B$4="M",Inputs_IAS19!$C$15,Inputs_IAS19!$C$16))*INDEX(ILT!$B$2:$C$122,MIN(C84,120)+1,IF($B$4="M",1,2))*(1-Inputs_IAS19!$C$17)^MAX(B84-Inputs_IAS19!$C$18,0)))</f>
        <v/>
      </c>
      <c r="E84">
        <f>E83*(1-D84)</f>
        <v/>
      </c>
      <c r="F84">
        <f>(E83+E84)/2</f>
        <v/>
      </c>
      <c r="G84">
        <f>IF(A84&lt;$B$6+1,0,IF(A84=$B$6+1,1,G83*(1+IF(B84=Inputs_IAS19!$C$7,Inputs_IAS19!$C$8,Inputs_IAS19!$C$6))))</f>
        <v/>
      </c>
      <c r="H84">
        <f>$B$12*G84*F84</f>
        <v/>
      </c>
      <c r="I84">
        <f>(1+Inputs_IAS19!$C$26)^-(A84-0.5)</f>
        <v/>
      </c>
      <c r="J84">
        <f>H84*I84</f>
        <v/>
      </c>
      <c r="K84">
        <f>H84*INDEX(Curve_IAS19!$D$2:$D$101,A84)</f>
        <v/>
      </c>
      <c r="M84">
        <f>IF(A84&lt;=$B$6,1-E84/E83,0)</f>
        <v/>
      </c>
      <c r="N84">
        <f>IF(A84&lt;=$B$6,Inputs_IAS19!$C$19*IF(C84&lt;Inputs_IAS19!$C$22,MAX(0,Inputs_IAS19!$C$20-Inputs_IAS19!$C$21*(C84-35)),0),0)</f>
        <v/>
      </c>
      <c r="O84">
        <f>O83*(1-M84-N84)</f>
        <v/>
      </c>
      <c r="P84">
        <f>O83*N84</f>
        <v/>
      </c>
      <c r="Q84">
        <f>$B$8*(1+Inputs_IAS19!$C$4)^A84</f>
        <v/>
      </c>
      <c r="R84">
        <f>Inputs_IAS19!$C$9*(1+Inputs_IAS19!$C$3)^(A84-1)</f>
        <v/>
      </c>
      <c r="S84">
        <f>MIN($B$7,Inputs_IAS19!$C$12)/Inputs_IAS19!$C$11*MAX(Q84-Inputs_IAS19!$C$10*R84,0)</f>
        <v/>
      </c>
      <c r="T84">
        <f>S84*(1+Inputs_IAS19!$C$5*0.5)*(1+Inputs_IAS19!$C$5)^($B$6-A84)</f>
        <v/>
      </c>
      <c r="U84">
        <f>IF(A84&lt;=$B$6,P84*(1-M84/2)*T84/E84,0)</f>
        <v/>
      </c>
    </row>
    <row r="85">
      <c r="A85" t="n">
        <v>67</v>
      </c>
      <c r="B85">
        <f>Inputs_IAS19!$C$2+A85</f>
        <v/>
      </c>
      <c r="C85">
        <f>$B$5+A85-1</f>
        <v/>
      </c>
      <c r="D85">
        <f>IF(C85&gt;=120,1,MIN(1,IF(A85&lt;=$B$6,IF($B$4="M",Inputs_IAS19!$C$13,Inputs_IAS19!$C$14),IF($B$4="M",Inputs_IAS19!$C$15,Inputs_IAS19!$C$16))*INDEX(ILT!$B$2:$C$122,MIN(C85,120)+1,IF($B$4="M",1,2))*(1-Inputs_IAS19!$C$17)^MAX(B85-Inputs_IAS19!$C$18,0)))</f>
        <v/>
      </c>
      <c r="E85">
        <f>E84*(1-D85)</f>
        <v/>
      </c>
      <c r="F85">
        <f>(E84+E85)/2</f>
        <v/>
      </c>
      <c r="G85">
        <f>IF(A85&lt;$B$6+1,0,IF(A85=$B$6+1,1,G84*(1+IF(B85=Inputs_IAS19!$C$7,Inputs_IAS19!$C$8,Inputs_IAS19!$C$6))))</f>
        <v/>
      </c>
      <c r="H85">
        <f>$B$12*G85*F85</f>
        <v/>
      </c>
      <c r="I85">
        <f>(1+Inputs_IAS19!$C$26)^-(A85-0.5)</f>
        <v/>
      </c>
      <c r="J85">
        <f>H85*I85</f>
        <v/>
      </c>
      <c r="K85">
        <f>H85*INDEX(Curve_IAS19!$D$2:$D$101,A85)</f>
        <v/>
      </c>
      <c r="M85">
        <f>IF(A85&lt;=$B$6,1-E85/E84,0)</f>
        <v/>
      </c>
      <c r="N85">
        <f>IF(A85&lt;=$B$6,Inputs_IAS19!$C$19*IF(C85&lt;Inputs_IAS19!$C$22,MAX(0,Inputs_IAS19!$C$20-Inputs_IAS19!$C$21*(C85-35)),0),0)</f>
        <v/>
      </c>
      <c r="O85">
        <f>O84*(1-M85-N85)</f>
        <v/>
      </c>
      <c r="P85">
        <f>O84*N85</f>
        <v/>
      </c>
      <c r="Q85">
        <f>$B$8*(1+Inputs_IAS19!$C$4)^A85</f>
        <v/>
      </c>
      <c r="R85">
        <f>Inputs_IAS19!$C$9*(1+Inputs_IAS19!$C$3)^(A85-1)</f>
        <v/>
      </c>
      <c r="S85">
        <f>MIN($B$7,Inputs_IAS19!$C$12)/Inputs_IAS19!$C$11*MAX(Q85-Inputs_IAS19!$C$10*R85,0)</f>
        <v/>
      </c>
      <c r="T85">
        <f>S85*(1+Inputs_IAS19!$C$5*0.5)*(1+Inputs_IAS19!$C$5)^($B$6-A85)</f>
        <v/>
      </c>
      <c r="U85">
        <f>IF(A85&lt;=$B$6,P85*(1-M85/2)*T85/E85,0)</f>
        <v/>
      </c>
    </row>
    <row r="86">
      <c r="A86" t="n">
        <v>68</v>
      </c>
      <c r="B86">
        <f>Inputs_IAS19!$C$2+A86</f>
        <v/>
      </c>
      <c r="C86">
        <f>$B$5+A86-1</f>
        <v/>
      </c>
      <c r="D86">
        <f>IF(C86&gt;=120,1,MIN(1,IF(A86&lt;=$B$6,IF($B$4="M",Inputs_IAS19!$C$13,Inputs_IAS19!$C$14),IF($B$4="M",Inputs_IAS19!$C$15,Inputs_IAS19!$C$16))*INDEX(ILT!$B$2:$C$122,MIN(C86,120)+1,IF($B$4="M",1,2))*(1-Inputs_IAS19!$C$17)^MAX(B86-Inputs_IAS19!$C$18,0)))</f>
        <v/>
      </c>
      <c r="E86">
        <f>E85*(1-D86)</f>
        <v/>
      </c>
      <c r="F86">
        <f>(E85+E86)/2</f>
        <v/>
      </c>
      <c r="G86">
        <f>IF(A86&lt;$B$6+1,0,IF(A86=$B$6+1,1,G85*(1+IF(B86=Inputs_IAS19!$C$7,Inputs_IAS19!$C$8,Inputs_IAS19!$C$6))))</f>
        <v/>
      </c>
      <c r="H86">
        <f>$B$12*G86*F86</f>
        <v/>
      </c>
      <c r="I86">
        <f>(1+Inputs_IAS19!$C$26)^-(A86-0.5)</f>
        <v/>
      </c>
      <c r="J86">
        <f>H86*I86</f>
        <v/>
      </c>
      <c r="K86">
        <f>H86*INDEX(Curve_IAS19!$D$2:$D$101,A86)</f>
        <v/>
      </c>
      <c r="M86">
        <f>IF(A86&lt;=$B$6,1-E86/E85,0)</f>
        <v/>
      </c>
      <c r="N86">
        <f>IF(A86&lt;=$B$6,Inputs_IAS19!$C$19*IF(C86&lt;Inputs_IAS19!$C$22,MAX(0,Inputs_IAS19!$C$20-Inputs_IAS19!$C$21*(C86-35)),0),0)</f>
        <v/>
      </c>
      <c r="O86">
        <f>O85*(1-M86-N86)</f>
        <v/>
      </c>
      <c r="P86">
        <f>O85*N86</f>
        <v/>
      </c>
      <c r="Q86">
        <f>$B$8*(1+Inputs_IAS19!$C$4)^A86</f>
        <v/>
      </c>
      <c r="R86">
        <f>Inputs_IAS19!$C$9*(1+Inputs_IAS19!$C$3)^(A86-1)</f>
        <v/>
      </c>
      <c r="S86">
        <f>MIN($B$7,Inputs_IAS19!$C$12)/Inputs_IAS19!$C$11*MAX(Q86-Inputs_IAS19!$C$10*R86,0)</f>
        <v/>
      </c>
      <c r="T86">
        <f>S86*(1+Inputs_IAS19!$C$5*0.5)*(1+Inputs_IAS19!$C$5)^($B$6-A86)</f>
        <v/>
      </c>
      <c r="U86">
        <f>IF(A86&lt;=$B$6,P86*(1-M86/2)*T86/E86,0)</f>
        <v/>
      </c>
    </row>
    <row r="87">
      <c r="A87" t="n">
        <v>69</v>
      </c>
      <c r="B87">
        <f>Inputs_IAS19!$C$2+A87</f>
        <v/>
      </c>
      <c r="C87">
        <f>$B$5+A87-1</f>
        <v/>
      </c>
      <c r="D87">
        <f>IF(C87&gt;=120,1,MIN(1,IF(A87&lt;=$B$6,IF($B$4="M",Inputs_IAS19!$C$13,Inputs_IAS19!$C$14),IF($B$4="M",Inputs_IAS19!$C$15,Inputs_IAS19!$C$16))*INDEX(ILT!$B$2:$C$122,MIN(C87,120)+1,IF($B$4="M",1,2))*(1-Inputs_IAS19!$C$17)^MAX(B87-Inputs_IAS19!$C$18,0)))</f>
        <v/>
      </c>
      <c r="E87">
        <f>E86*(1-D87)</f>
        <v/>
      </c>
      <c r="F87">
        <f>(E86+E87)/2</f>
        <v/>
      </c>
      <c r="G87">
        <f>IF(A87&lt;$B$6+1,0,IF(A87=$B$6+1,1,G86*(1+IF(B87=Inputs_IAS19!$C$7,Inputs_IAS19!$C$8,Inputs_IAS19!$C$6))))</f>
        <v/>
      </c>
      <c r="H87">
        <f>$B$12*G87*F87</f>
        <v/>
      </c>
      <c r="I87">
        <f>(1+Inputs_IAS19!$C$26)^-(A87-0.5)</f>
        <v/>
      </c>
      <c r="J87">
        <f>H87*I87</f>
        <v/>
      </c>
      <c r="K87">
        <f>H87*INDEX(Curve_IAS19!$D$2:$D$101,A87)</f>
        <v/>
      </c>
      <c r="M87">
        <f>IF(A87&lt;=$B$6,1-E87/E86,0)</f>
        <v/>
      </c>
      <c r="N87">
        <f>IF(A87&lt;=$B$6,Inputs_IAS19!$C$19*IF(C87&lt;Inputs_IAS19!$C$22,MAX(0,Inputs_IAS19!$C$20-Inputs_IAS19!$C$21*(C87-35)),0),0)</f>
        <v/>
      </c>
      <c r="O87">
        <f>O86*(1-M87-N87)</f>
        <v/>
      </c>
      <c r="P87">
        <f>O86*N87</f>
        <v/>
      </c>
      <c r="Q87">
        <f>$B$8*(1+Inputs_IAS19!$C$4)^A87</f>
        <v/>
      </c>
      <c r="R87">
        <f>Inputs_IAS19!$C$9*(1+Inputs_IAS19!$C$3)^(A87-1)</f>
        <v/>
      </c>
      <c r="S87">
        <f>MIN($B$7,Inputs_IAS19!$C$12)/Inputs_IAS19!$C$11*MAX(Q87-Inputs_IAS19!$C$10*R87,0)</f>
        <v/>
      </c>
      <c r="T87">
        <f>S87*(1+Inputs_IAS19!$C$5*0.5)*(1+Inputs_IAS19!$C$5)^($B$6-A87)</f>
        <v/>
      </c>
      <c r="U87">
        <f>IF(A87&lt;=$B$6,P87*(1-M87/2)*T87/E87,0)</f>
        <v/>
      </c>
    </row>
    <row r="88">
      <c r="A88" t="n">
        <v>70</v>
      </c>
      <c r="B88">
        <f>Inputs_IAS19!$C$2+A88</f>
        <v/>
      </c>
      <c r="C88">
        <f>$B$5+A88-1</f>
        <v/>
      </c>
      <c r="D88">
        <f>IF(C88&gt;=120,1,MIN(1,IF(A88&lt;=$B$6,IF($B$4="M",Inputs_IAS19!$C$13,Inputs_IAS19!$C$14),IF($B$4="M",Inputs_IAS19!$C$15,Inputs_IAS19!$C$16))*INDEX(ILT!$B$2:$C$122,MIN(C88,120)+1,IF($B$4="M",1,2))*(1-Inputs_IAS19!$C$17)^MAX(B88-Inputs_IAS19!$C$18,0)))</f>
        <v/>
      </c>
      <c r="E88">
        <f>E87*(1-D88)</f>
        <v/>
      </c>
      <c r="F88">
        <f>(E87+E88)/2</f>
        <v/>
      </c>
      <c r="G88">
        <f>IF(A88&lt;$B$6+1,0,IF(A88=$B$6+1,1,G87*(1+IF(B88=Inputs_IAS19!$C$7,Inputs_IAS19!$C$8,Inputs_IAS19!$C$6))))</f>
        <v/>
      </c>
      <c r="H88">
        <f>$B$12*G88*F88</f>
        <v/>
      </c>
      <c r="I88">
        <f>(1+Inputs_IAS19!$C$26)^-(A88-0.5)</f>
        <v/>
      </c>
      <c r="J88">
        <f>H88*I88</f>
        <v/>
      </c>
      <c r="K88">
        <f>H88*INDEX(Curve_IAS19!$D$2:$D$101,A88)</f>
        <v/>
      </c>
      <c r="M88">
        <f>IF(A88&lt;=$B$6,1-E88/E87,0)</f>
        <v/>
      </c>
      <c r="N88">
        <f>IF(A88&lt;=$B$6,Inputs_IAS19!$C$19*IF(C88&lt;Inputs_IAS19!$C$22,MAX(0,Inputs_IAS19!$C$20-Inputs_IAS19!$C$21*(C88-35)),0),0)</f>
        <v/>
      </c>
      <c r="O88">
        <f>O87*(1-M88-N88)</f>
        <v/>
      </c>
      <c r="P88">
        <f>O87*N88</f>
        <v/>
      </c>
      <c r="Q88">
        <f>$B$8*(1+Inputs_IAS19!$C$4)^A88</f>
        <v/>
      </c>
      <c r="R88">
        <f>Inputs_IAS19!$C$9*(1+Inputs_IAS19!$C$3)^(A88-1)</f>
        <v/>
      </c>
      <c r="S88">
        <f>MIN($B$7,Inputs_IAS19!$C$12)/Inputs_IAS19!$C$11*MAX(Q88-Inputs_IAS19!$C$10*R88,0)</f>
        <v/>
      </c>
      <c r="T88">
        <f>S88*(1+Inputs_IAS19!$C$5*0.5)*(1+Inputs_IAS19!$C$5)^($B$6-A88)</f>
        <v/>
      </c>
      <c r="U88">
        <f>IF(A88&lt;=$B$6,P88*(1-M88/2)*T88/E88,0)</f>
        <v/>
      </c>
    </row>
    <row r="89">
      <c r="A89" t="n">
        <v>71</v>
      </c>
      <c r="B89">
        <f>Inputs_IAS19!$C$2+A89</f>
        <v/>
      </c>
      <c r="C89">
        <f>$B$5+A89-1</f>
        <v/>
      </c>
      <c r="D89">
        <f>IF(C89&gt;=120,1,MIN(1,IF(A89&lt;=$B$6,IF($B$4="M",Inputs_IAS19!$C$13,Inputs_IAS19!$C$14),IF($B$4="M",Inputs_IAS19!$C$15,Inputs_IAS19!$C$16))*INDEX(ILT!$B$2:$C$122,MIN(C89,120)+1,IF($B$4="M",1,2))*(1-Inputs_IAS19!$C$17)^MAX(B89-Inputs_IAS19!$C$18,0)))</f>
        <v/>
      </c>
      <c r="E89">
        <f>E88*(1-D89)</f>
        <v/>
      </c>
      <c r="F89">
        <f>(E88+E89)/2</f>
        <v/>
      </c>
      <c r="G89">
        <f>IF(A89&lt;$B$6+1,0,IF(A89=$B$6+1,1,G88*(1+IF(B89=Inputs_IAS19!$C$7,Inputs_IAS19!$C$8,Inputs_IAS19!$C$6))))</f>
        <v/>
      </c>
      <c r="H89">
        <f>$B$12*G89*F89</f>
        <v/>
      </c>
      <c r="I89">
        <f>(1+Inputs_IAS19!$C$26)^-(A89-0.5)</f>
        <v/>
      </c>
      <c r="J89">
        <f>H89*I89</f>
        <v/>
      </c>
      <c r="K89">
        <f>H89*INDEX(Curve_IAS19!$D$2:$D$101,A89)</f>
        <v/>
      </c>
      <c r="M89">
        <f>IF(A89&lt;=$B$6,1-E89/E88,0)</f>
        <v/>
      </c>
      <c r="N89">
        <f>IF(A89&lt;=$B$6,Inputs_IAS19!$C$19*IF(C89&lt;Inputs_IAS19!$C$22,MAX(0,Inputs_IAS19!$C$20-Inputs_IAS19!$C$21*(C89-35)),0),0)</f>
        <v/>
      </c>
      <c r="O89">
        <f>O88*(1-M89-N89)</f>
        <v/>
      </c>
      <c r="P89">
        <f>O88*N89</f>
        <v/>
      </c>
      <c r="Q89">
        <f>$B$8*(1+Inputs_IAS19!$C$4)^A89</f>
        <v/>
      </c>
      <c r="R89">
        <f>Inputs_IAS19!$C$9*(1+Inputs_IAS19!$C$3)^(A89-1)</f>
        <v/>
      </c>
      <c r="S89">
        <f>MIN($B$7,Inputs_IAS19!$C$12)/Inputs_IAS19!$C$11*MAX(Q89-Inputs_IAS19!$C$10*R89,0)</f>
        <v/>
      </c>
      <c r="T89">
        <f>S89*(1+Inputs_IAS19!$C$5*0.5)*(1+Inputs_IAS19!$C$5)^($B$6-A89)</f>
        <v/>
      </c>
      <c r="U89">
        <f>IF(A89&lt;=$B$6,P89*(1-M89/2)*T89/E89,0)</f>
        <v/>
      </c>
    </row>
    <row r="90">
      <c r="A90" t="n">
        <v>72</v>
      </c>
      <c r="B90">
        <f>Inputs_IAS19!$C$2+A90</f>
        <v/>
      </c>
      <c r="C90">
        <f>$B$5+A90-1</f>
        <v/>
      </c>
      <c r="D90">
        <f>IF(C90&gt;=120,1,MIN(1,IF(A90&lt;=$B$6,IF($B$4="M",Inputs_IAS19!$C$13,Inputs_IAS19!$C$14),IF($B$4="M",Inputs_IAS19!$C$15,Inputs_IAS19!$C$16))*INDEX(ILT!$B$2:$C$122,MIN(C90,120)+1,IF($B$4="M",1,2))*(1-Inputs_IAS19!$C$17)^MAX(B90-Inputs_IAS19!$C$18,0)))</f>
        <v/>
      </c>
      <c r="E90">
        <f>E89*(1-D90)</f>
        <v/>
      </c>
      <c r="F90">
        <f>(E89+E90)/2</f>
        <v/>
      </c>
      <c r="G90">
        <f>IF(A90&lt;$B$6+1,0,IF(A90=$B$6+1,1,G89*(1+IF(B90=Inputs_IAS19!$C$7,Inputs_IAS19!$C$8,Inputs_IAS19!$C$6))))</f>
        <v/>
      </c>
      <c r="H90">
        <f>$B$12*G90*F90</f>
        <v/>
      </c>
      <c r="I90">
        <f>(1+Inputs_IAS19!$C$26)^-(A90-0.5)</f>
        <v/>
      </c>
      <c r="J90">
        <f>H90*I90</f>
        <v/>
      </c>
      <c r="K90">
        <f>H90*INDEX(Curve_IAS19!$D$2:$D$101,A90)</f>
        <v/>
      </c>
      <c r="M90">
        <f>IF(A90&lt;=$B$6,1-E90/E89,0)</f>
        <v/>
      </c>
      <c r="N90">
        <f>IF(A90&lt;=$B$6,Inputs_IAS19!$C$19*IF(C90&lt;Inputs_IAS19!$C$22,MAX(0,Inputs_IAS19!$C$20-Inputs_IAS19!$C$21*(C90-35)),0),0)</f>
        <v/>
      </c>
      <c r="O90">
        <f>O89*(1-M90-N90)</f>
        <v/>
      </c>
      <c r="P90">
        <f>O89*N90</f>
        <v/>
      </c>
      <c r="Q90">
        <f>$B$8*(1+Inputs_IAS19!$C$4)^A90</f>
        <v/>
      </c>
      <c r="R90">
        <f>Inputs_IAS19!$C$9*(1+Inputs_IAS19!$C$3)^(A90-1)</f>
        <v/>
      </c>
      <c r="S90">
        <f>MIN($B$7,Inputs_IAS19!$C$12)/Inputs_IAS19!$C$11*MAX(Q90-Inputs_IAS19!$C$10*R90,0)</f>
        <v/>
      </c>
      <c r="T90">
        <f>S90*(1+Inputs_IAS19!$C$5*0.5)*(1+Inputs_IAS19!$C$5)^($B$6-A90)</f>
        <v/>
      </c>
      <c r="U90">
        <f>IF(A90&lt;=$B$6,P90*(1-M90/2)*T90/E90,0)</f>
        <v/>
      </c>
    </row>
    <row r="91">
      <c r="A91" t="n">
        <v>73</v>
      </c>
      <c r="B91">
        <f>Inputs_IAS19!$C$2+A91</f>
        <v/>
      </c>
      <c r="C91">
        <f>$B$5+A91-1</f>
        <v/>
      </c>
      <c r="D91">
        <f>IF(C91&gt;=120,1,MIN(1,IF(A91&lt;=$B$6,IF($B$4="M",Inputs_IAS19!$C$13,Inputs_IAS19!$C$14),IF($B$4="M",Inputs_IAS19!$C$15,Inputs_IAS19!$C$16))*INDEX(ILT!$B$2:$C$122,MIN(C91,120)+1,IF($B$4="M",1,2))*(1-Inputs_IAS19!$C$17)^MAX(B91-Inputs_IAS19!$C$18,0)))</f>
        <v/>
      </c>
      <c r="E91">
        <f>E90*(1-D91)</f>
        <v/>
      </c>
      <c r="F91">
        <f>(E90+E91)/2</f>
        <v/>
      </c>
      <c r="G91">
        <f>IF(A91&lt;$B$6+1,0,IF(A91=$B$6+1,1,G90*(1+IF(B91=Inputs_IAS19!$C$7,Inputs_IAS19!$C$8,Inputs_IAS19!$C$6))))</f>
        <v/>
      </c>
      <c r="H91">
        <f>$B$12*G91*F91</f>
        <v/>
      </c>
      <c r="I91">
        <f>(1+Inputs_IAS19!$C$26)^-(A91-0.5)</f>
        <v/>
      </c>
      <c r="J91">
        <f>H91*I91</f>
        <v/>
      </c>
      <c r="K91">
        <f>H91*INDEX(Curve_IAS19!$D$2:$D$101,A91)</f>
        <v/>
      </c>
      <c r="M91">
        <f>IF(A91&lt;=$B$6,1-E91/E90,0)</f>
        <v/>
      </c>
      <c r="N91">
        <f>IF(A91&lt;=$B$6,Inputs_IAS19!$C$19*IF(C91&lt;Inputs_IAS19!$C$22,MAX(0,Inputs_IAS19!$C$20-Inputs_IAS19!$C$21*(C91-35)),0),0)</f>
        <v/>
      </c>
      <c r="O91">
        <f>O90*(1-M91-N91)</f>
        <v/>
      </c>
      <c r="P91">
        <f>O90*N91</f>
        <v/>
      </c>
      <c r="Q91">
        <f>$B$8*(1+Inputs_IAS19!$C$4)^A91</f>
        <v/>
      </c>
      <c r="R91">
        <f>Inputs_IAS19!$C$9*(1+Inputs_IAS19!$C$3)^(A91-1)</f>
        <v/>
      </c>
      <c r="S91">
        <f>MIN($B$7,Inputs_IAS19!$C$12)/Inputs_IAS19!$C$11*MAX(Q91-Inputs_IAS19!$C$10*R91,0)</f>
        <v/>
      </c>
      <c r="T91">
        <f>S91*(1+Inputs_IAS19!$C$5*0.5)*(1+Inputs_IAS19!$C$5)^($B$6-A91)</f>
        <v/>
      </c>
      <c r="U91">
        <f>IF(A91&lt;=$B$6,P91*(1-M91/2)*T91/E91,0)</f>
        <v/>
      </c>
    </row>
    <row r="92">
      <c r="A92" t="n">
        <v>74</v>
      </c>
      <c r="B92">
        <f>Inputs_IAS19!$C$2+A92</f>
        <v/>
      </c>
      <c r="C92">
        <f>$B$5+A92-1</f>
        <v/>
      </c>
      <c r="D92">
        <f>IF(C92&gt;=120,1,MIN(1,IF(A92&lt;=$B$6,IF($B$4="M",Inputs_IAS19!$C$13,Inputs_IAS19!$C$14),IF($B$4="M",Inputs_IAS19!$C$15,Inputs_IAS19!$C$16))*INDEX(ILT!$B$2:$C$122,MIN(C92,120)+1,IF($B$4="M",1,2))*(1-Inputs_IAS19!$C$17)^MAX(B92-Inputs_IAS19!$C$18,0)))</f>
        <v/>
      </c>
      <c r="E92">
        <f>E91*(1-D92)</f>
        <v/>
      </c>
      <c r="F92">
        <f>(E91+E92)/2</f>
        <v/>
      </c>
      <c r="G92">
        <f>IF(A92&lt;$B$6+1,0,IF(A92=$B$6+1,1,G91*(1+IF(B92=Inputs_IAS19!$C$7,Inputs_IAS19!$C$8,Inputs_IAS19!$C$6))))</f>
        <v/>
      </c>
      <c r="H92">
        <f>$B$12*G92*F92</f>
        <v/>
      </c>
      <c r="I92">
        <f>(1+Inputs_IAS19!$C$26)^-(A92-0.5)</f>
        <v/>
      </c>
      <c r="J92">
        <f>H92*I92</f>
        <v/>
      </c>
      <c r="K92">
        <f>H92*INDEX(Curve_IAS19!$D$2:$D$101,A92)</f>
        <v/>
      </c>
      <c r="M92">
        <f>IF(A92&lt;=$B$6,1-E92/E91,0)</f>
        <v/>
      </c>
      <c r="N92">
        <f>IF(A92&lt;=$B$6,Inputs_IAS19!$C$19*IF(C92&lt;Inputs_IAS19!$C$22,MAX(0,Inputs_IAS19!$C$20-Inputs_IAS19!$C$21*(C92-35)),0),0)</f>
        <v/>
      </c>
      <c r="O92">
        <f>O91*(1-M92-N92)</f>
        <v/>
      </c>
      <c r="P92">
        <f>O91*N92</f>
        <v/>
      </c>
      <c r="Q92">
        <f>$B$8*(1+Inputs_IAS19!$C$4)^A92</f>
        <v/>
      </c>
      <c r="R92">
        <f>Inputs_IAS19!$C$9*(1+Inputs_IAS19!$C$3)^(A92-1)</f>
        <v/>
      </c>
      <c r="S92">
        <f>MIN($B$7,Inputs_IAS19!$C$12)/Inputs_IAS19!$C$11*MAX(Q92-Inputs_IAS19!$C$10*R92,0)</f>
        <v/>
      </c>
      <c r="T92">
        <f>S92*(1+Inputs_IAS19!$C$5*0.5)*(1+Inputs_IAS19!$C$5)^($B$6-A92)</f>
        <v/>
      </c>
      <c r="U92">
        <f>IF(A92&lt;=$B$6,P92*(1-M92/2)*T92/E92,0)</f>
        <v/>
      </c>
    </row>
    <row r="93">
      <c r="A93" t="n">
        <v>75</v>
      </c>
      <c r="B93">
        <f>Inputs_IAS19!$C$2+A93</f>
        <v/>
      </c>
      <c r="C93">
        <f>$B$5+A93-1</f>
        <v/>
      </c>
      <c r="D93">
        <f>IF(C93&gt;=120,1,MIN(1,IF(A93&lt;=$B$6,IF($B$4="M",Inputs_IAS19!$C$13,Inputs_IAS19!$C$14),IF($B$4="M",Inputs_IAS19!$C$15,Inputs_IAS19!$C$16))*INDEX(ILT!$B$2:$C$122,MIN(C93,120)+1,IF($B$4="M",1,2))*(1-Inputs_IAS19!$C$17)^MAX(B93-Inputs_IAS19!$C$18,0)))</f>
        <v/>
      </c>
      <c r="E93">
        <f>E92*(1-D93)</f>
        <v/>
      </c>
      <c r="F93">
        <f>(E92+E93)/2</f>
        <v/>
      </c>
      <c r="G93">
        <f>IF(A93&lt;$B$6+1,0,IF(A93=$B$6+1,1,G92*(1+IF(B93=Inputs_IAS19!$C$7,Inputs_IAS19!$C$8,Inputs_IAS19!$C$6))))</f>
        <v/>
      </c>
      <c r="H93">
        <f>$B$12*G93*F93</f>
        <v/>
      </c>
      <c r="I93">
        <f>(1+Inputs_IAS19!$C$26)^-(A93-0.5)</f>
        <v/>
      </c>
      <c r="J93">
        <f>H93*I93</f>
        <v/>
      </c>
      <c r="K93">
        <f>H93*INDEX(Curve_IAS19!$D$2:$D$101,A93)</f>
        <v/>
      </c>
      <c r="M93">
        <f>IF(A93&lt;=$B$6,1-E93/E92,0)</f>
        <v/>
      </c>
      <c r="N93">
        <f>IF(A93&lt;=$B$6,Inputs_IAS19!$C$19*IF(C93&lt;Inputs_IAS19!$C$22,MAX(0,Inputs_IAS19!$C$20-Inputs_IAS19!$C$21*(C93-35)),0),0)</f>
        <v/>
      </c>
      <c r="O93">
        <f>O92*(1-M93-N93)</f>
        <v/>
      </c>
      <c r="P93">
        <f>O92*N93</f>
        <v/>
      </c>
      <c r="Q93">
        <f>$B$8*(1+Inputs_IAS19!$C$4)^A93</f>
        <v/>
      </c>
      <c r="R93">
        <f>Inputs_IAS19!$C$9*(1+Inputs_IAS19!$C$3)^(A93-1)</f>
        <v/>
      </c>
      <c r="S93">
        <f>MIN($B$7,Inputs_IAS19!$C$12)/Inputs_IAS19!$C$11*MAX(Q93-Inputs_IAS19!$C$10*R93,0)</f>
        <v/>
      </c>
      <c r="T93">
        <f>S93*(1+Inputs_IAS19!$C$5*0.5)*(1+Inputs_IAS19!$C$5)^($B$6-A93)</f>
        <v/>
      </c>
      <c r="U93">
        <f>IF(A93&lt;=$B$6,P93*(1-M93/2)*T93/E93,0)</f>
        <v/>
      </c>
    </row>
    <row r="94">
      <c r="A94" t="n">
        <v>76</v>
      </c>
      <c r="B94">
        <f>Inputs_IAS19!$C$2+A94</f>
        <v/>
      </c>
      <c r="C94">
        <f>$B$5+A94-1</f>
        <v/>
      </c>
      <c r="D94">
        <f>IF(C94&gt;=120,1,MIN(1,IF(A94&lt;=$B$6,IF($B$4="M",Inputs_IAS19!$C$13,Inputs_IAS19!$C$14),IF($B$4="M",Inputs_IAS19!$C$15,Inputs_IAS19!$C$16))*INDEX(ILT!$B$2:$C$122,MIN(C94,120)+1,IF($B$4="M",1,2))*(1-Inputs_IAS19!$C$17)^MAX(B94-Inputs_IAS19!$C$18,0)))</f>
        <v/>
      </c>
      <c r="E94">
        <f>E93*(1-D94)</f>
        <v/>
      </c>
      <c r="F94">
        <f>(E93+E94)/2</f>
        <v/>
      </c>
      <c r="G94">
        <f>IF(A94&lt;$B$6+1,0,IF(A94=$B$6+1,1,G93*(1+IF(B94=Inputs_IAS19!$C$7,Inputs_IAS19!$C$8,Inputs_IAS19!$C$6))))</f>
        <v/>
      </c>
      <c r="H94">
        <f>$B$12*G94*F94</f>
        <v/>
      </c>
      <c r="I94">
        <f>(1+Inputs_IAS19!$C$26)^-(A94-0.5)</f>
        <v/>
      </c>
      <c r="J94">
        <f>H94*I94</f>
        <v/>
      </c>
      <c r="K94">
        <f>H94*INDEX(Curve_IAS19!$D$2:$D$101,A94)</f>
        <v/>
      </c>
      <c r="M94">
        <f>IF(A94&lt;=$B$6,1-E94/E93,0)</f>
        <v/>
      </c>
      <c r="N94">
        <f>IF(A94&lt;=$B$6,Inputs_IAS19!$C$19*IF(C94&lt;Inputs_IAS19!$C$22,MAX(0,Inputs_IAS19!$C$20-Inputs_IAS19!$C$21*(C94-35)),0),0)</f>
        <v/>
      </c>
      <c r="O94">
        <f>O93*(1-M94-N94)</f>
        <v/>
      </c>
      <c r="P94">
        <f>O93*N94</f>
        <v/>
      </c>
      <c r="Q94">
        <f>$B$8*(1+Inputs_IAS19!$C$4)^A94</f>
        <v/>
      </c>
      <c r="R94">
        <f>Inputs_IAS19!$C$9*(1+Inputs_IAS19!$C$3)^(A94-1)</f>
        <v/>
      </c>
      <c r="S94">
        <f>MIN($B$7,Inputs_IAS19!$C$12)/Inputs_IAS19!$C$11*MAX(Q94-Inputs_IAS19!$C$10*R94,0)</f>
        <v/>
      </c>
      <c r="T94">
        <f>S94*(1+Inputs_IAS19!$C$5*0.5)*(1+Inputs_IAS19!$C$5)^($B$6-A94)</f>
        <v/>
      </c>
      <c r="U94">
        <f>IF(A94&lt;=$B$6,P94*(1-M94/2)*T94/E94,0)</f>
        <v/>
      </c>
    </row>
    <row r="95">
      <c r="A95" t="n">
        <v>77</v>
      </c>
      <c r="B95">
        <f>Inputs_IAS19!$C$2+A95</f>
        <v/>
      </c>
      <c r="C95">
        <f>$B$5+A95-1</f>
        <v/>
      </c>
      <c r="D95">
        <f>IF(C95&gt;=120,1,MIN(1,IF(A95&lt;=$B$6,IF($B$4="M",Inputs_IAS19!$C$13,Inputs_IAS19!$C$14),IF($B$4="M",Inputs_IAS19!$C$15,Inputs_IAS19!$C$16))*INDEX(ILT!$B$2:$C$122,MIN(C95,120)+1,IF($B$4="M",1,2))*(1-Inputs_IAS19!$C$17)^MAX(B95-Inputs_IAS19!$C$18,0)))</f>
        <v/>
      </c>
      <c r="E95">
        <f>E94*(1-D95)</f>
        <v/>
      </c>
      <c r="F95">
        <f>(E94+E95)/2</f>
        <v/>
      </c>
      <c r="G95">
        <f>IF(A95&lt;$B$6+1,0,IF(A95=$B$6+1,1,G94*(1+IF(B95=Inputs_IAS19!$C$7,Inputs_IAS19!$C$8,Inputs_IAS19!$C$6))))</f>
        <v/>
      </c>
      <c r="H95">
        <f>$B$12*G95*F95</f>
        <v/>
      </c>
      <c r="I95">
        <f>(1+Inputs_IAS19!$C$26)^-(A95-0.5)</f>
        <v/>
      </c>
      <c r="J95">
        <f>H95*I95</f>
        <v/>
      </c>
      <c r="K95">
        <f>H95*INDEX(Curve_IAS19!$D$2:$D$101,A95)</f>
        <v/>
      </c>
      <c r="M95">
        <f>IF(A95&lt;=$B$6,1-E95/E94,0)</f>
        <v/>
      </c>
      <c r="N95">
        <f>IF(A95&lt;=$B$6,Inputs_IAS19!$C$19*IF(C95&lt;Inputs_IAS19!$C$22,MAX(0,Inputs_IAS19!$C$20-Inputs_IAS19!$C$21*(C95-35)),0),0)</f>
        <v/>
      </c>
      <c r="O95">
        <f>O94*(1-M95-N95)</f>
        <v/>
      </c>
      <c r="P95">
        <f>O94*N95</f>
        <v/>
      </c>
      <c r="Q95">
        <f>$B$8*(1+Inputs_IAS19!$C$4)^A95</f>
        <v/>
      </c>
      <c r="R95">
        <f>Inputs_IAS19!$C$9*(1+Inputs_IAS19!$C$3)^(A95-1)</f>
        <v/>
      </c>
      <c r="S95">
        <f>MIN($B$7,Inputs_IAS19!$C$12)/Inputs_IAS19!$C$11*MAX(Q95-Inputs_IAS19!$C$10*R95,0)</f>
        <v/>
      </c>
      <c r="T95">
        <f>S95*(1+Inputs_IAS19!$C$5*0.5)*(1+Inputs_IAS19!$C$5)^($B$6-A95)</f>
        <v/>
      </c>
      <c r="U95">
        <f>IF(A95&lt;=$B$6,P95*(1-M95/2)*T95/E95,0)</f>
        <v/>
      </c>
    </row>
    <row r="96">
      <c r="A96" t="n">
        <v>78</v>
      </c>
      <c r="B96">
        <f>Inputs_IAS19!$C$2+A96</f>
        <v/>
      </c>
      <c r="C96">
        <f>$B$5+A96-1</f>
        <v/>
      </c>
      <c r="D96">
        <f>IF(C96&gt;=120,1,MIN(1,IF(A96&lt;=$B$6,IF($B$4="M",Inputs_IAS19!$C$13,Inputs_IAS19!$C$14),IF($B$4="M",Inputs_IAS19!$C$15,Inputs_IAS19!$C$16))*INDEX(ILT!$B$2:$C$122,MIN(C96,120)+1,IF($B$4="M",1,2))*(1-Inputs_IAS19!$C$17)^MAX(B96-Inputs_IAS19!$C$18,0)))</f>
        <v/>
      </c>
      <c r="E96">
        <f>E95*(1-D96)</f>
        <v/>
      </c>
      <c r="F96">
        <f>(E95+E96)/2</f>
        <v/>
      </c>
      <c r="G96">
        <f>IF(A96&lt;$B$6+1,0,IF(A96=$B$6+1,1,G95*(1+IF(B96=Inputs_IAS19!$C$7,Inputs_IAS19!$C$8,Inputs_IAS19!$C$6))))</f>
        <v/>
      </c>
      <c r="H96">
        <f>$B$12*G96*F96</f>
        <v/>
      </c>
      <c r="I96">
        <f>(1+Inputs_IAS19!$C$26)^-(A96-0.5)</f>
        <v/>
      </c>
      <c r="J96">
        <f>H96*I96</f>
        <v/>
      </c>
      <c r="K96">
        <f>H96*INDEX(Curve_IAS19!$D$2:$D$101,A96)</f>
        <v/>
      </c>
      <c r="M96">
        <f>IF(A96&lt;=$B$6,1-E96/E95,0)</f>
        <v/>
      </c>
      <c r="N96">
        <f>IF(A96&lt;=$B$6,Inputs_IAS19!$C$19*IF(C96&lt;Inputs_IAS19!$C$22,MAX(0,Inputs_IAS19!$C$20-Inputs_IAS19!$C$21*(C96-35)),0),0)</f>
        <v/>
      </c>
      <c r="O96">
        <f>O95*(1-M96-N96)</f>
        <v/>
      </c>
      <c r="P96">
        <f>O95*N96</f>
        <v/>
      </c>
      <c r="Q96">
        <f>$B$8*(1+Inputs_IAS19!$C$4)^A96</f>
        <v/>
      </c>
      <c r="R96">
        <f>Inputs_IAS19!$C$9*(1+Inputs_IAS19!$C$3)^(A96-1)</f>
        <v/>
      </c>
      <c r="S96">
        <f>MIN($B$7,Inputs_IAS19!$C$12)/Inputs_IAS19!$C$11*MAX(Q96-Inputs_IAS19!$C$10*R96,0)</f>
        <v/>
      </c>
      <c r="T96">
        <f>S96*(1+Inputs_IAS19!$C$5*0.5)*(1+Inputs_IAS19!$C$5)^($B$6-A96)</f>
        <v/>
      </c>
      <c r="U96">
        <f>IF(A96&lt;=$B$6,P96*(1-M96/2)*T96/E96,0)</f>
        <v/>
      </c>
    </row>
    <row r="97">
      <c r="A97" t="n">
        <v>79</v>
      </c>
      <c r="B97">
        <f>Inputs_IAS19!$C$2+A97</f>
        <v/>
      </c>
      <c r="C97">
        <f>$B$5+A97-1</f>
        <v/>
      </c>
      <c r="D97">
        <f>IF(C97&gt;=120,1,MIN(1,IF(A97&lt;=$B$6,IF($B$4="M",Inputs_IAS19!$C$13,Inputs_IAS19!$C$14),IF($B$4="M",Inputs_IAS19!$C$15,Inputs_IAS19!$C$16))*INDEX(ILT!$B$2:$C$122,MIN(C97,120)+1,IF($B$4="M",1,2))*(1-Inputs_IAS19!$C$17)^MAX(B97-Inputs_IAS19!$C$18,0)))</f>
        <v/>
      </c>
      <c r="E97">
        <f>E96*(1-D97)</f>
        <v/>
      </c>
      <c r="F97">
        <f>(E96+E97)/2</f>
        <v/>
      </c>
      <c r="G97">
        <f>IF(A97&lt;$B$6+1,0,IF(A97=$B$6+1,1,G96*(1+IF(B97=Inputs_IAS19!$C$7,Inputs_IAS19!$C$8,Inputs_IAS19!$C$6))))</f>
        <v/>
      </c>
      <c r="H97">
        <f>$B$12*G97*F97</f>
        <v/>
      </c>
      <c r="I97">
        <f>(1+Inputs_IAS19!$C$26)^-(A97-0.5)</f>
        <v/>
      </c>
      <c r="J97">
        <f>H97*I97</f>
        <v/>
      </c>
      <c r="K97">
        <f>H97*INDEX(Curve_IAS19!$D$2:$D$101,A97)</f>
        <v/>
      </c>
      <c r="M97">
        <f>IF(A97&lt;=$B$6,1-E97/E96,0)</f>
        <v/>
      </c>
      <c r="N97">
        <f>IF(A97&lt;=$B$6,Inputs_IAS19!$C$19*IF(C97&lt;Inputs_IAS19!$C$22,MAX(0,Inputs_IAS19!$C$20-Inputs_IAS19!$C$21*(C97-35)),0),0)</f>
        <v/>
      </c>
      <c r="O97">
        <f>O96*(1-M97-N97)</f>
        <v/>
      </c>
      <c r="P97">
        <f>O96*N97</f>
        <v/>
      </c>
      <c r="Q97">
        <f>$B$8*(1+Inputs_IAS19!$C$4)^A97</f>
        <v/>
      </c>
      <c r="R97">
        <f>Inputs_IAS19!$C$9*(1+Inputs_IAS19!$C$3)^(A97-1)</f>
        <v/>
      </c>
      <c r="S97">
        <f>MIN($B$7,Inputs_IAS19!$C$12)/Inputs_IAS19!$C$11*MAX(Q97-Inputs_IAS19!$C$10*R97,0)</f>
        <v/>
      </c>
      <c r="T97">
        <f>S97*(1+Inputs_IAS19!$C$5*0.5)*(1+Inputs_IAS19!$C$5)^($B$6-A97)</f>
        <v/>
      </c>
      <c r="U97">
        <f>IF(A97&lt;=$B$6,P97*(1-M97/2)*T97/E97,0)</f>
        <v/>
      </c>
    </row>
    <row r="98">
      <c r="A98" t="n">
        <v>80</v>
      </c>
      <c r="B98">
        <f>Inputs_IAS19!$C$2+A98</f>
        <v/>
      </c>
      <c r="C98">
        <f>$B$5+A98-1</f>
        <v/>
      </c>
      <c r="D98">
        <f>IF(C98&gt;=120,1,MIN(1,IF(A98&lt;=$B$6,IF($B$4="M",Inputs_IAS19!$C$13,Inputs_IAS19!$C$14),IF($B$4="M",Inputs_IAS19!$C$15,Inputs_IAS19!$C$16))*INDEX(ILT!$B$2:$C$122,MIN(C98,120)+1,IF($B$4="M",1,2))*(1-Inputs_IAS19!$C$17)^MAX(B98-Inputs_IAS19!$C$18,0)))</f>
        <v/>
      </c>
      <c r="E98">
        <f>E97*(1-D98)</f>
        <v/>
      </c>
      <c r="F98">
        <f>(E97+E98)/2</f>
        <v/>
      </c>
      <c r="G98">
        <f>IF(A98&lt;$B$6+1,0,IF(A98=$B$6+1,1,G97*(1+IF(B98=Inputs_IAS19!$C$7,Inputs_IAS19!$C$8,Inputs_IAS19!$C$6))))</f>
        <v/>
      </c>
      <c r="H98">
        <f>$B$12*G98*F98</f>
        <v/>
      </c>
      <c r="I98">
        <f>(1+Inputs_IAS19!$C$26)^-(A98-0.5)</f>
        <v/>
      </c>
      <c r="J98">
        <f>H98*I98</f>
        <v/>
      </c>
      <c r="K98">
        <f>H98*INDEX(Curve_IAS19!$D$2:$D$101,A98)</f>
        <v/>
      </c>
      <c r="M98">
        <f>IF(A98&lt;=$B$6,1-E98/E97,0)</f>
        <v/>
      </c>
      <c r="N98">
        <f>IF(A98&lt;=$B$6,Inputs_IAS19!$C$19*IF(C98&lt;Inputs_IAS19!$C$22,MAX(0,Inputs_IAS19!$C$20-Inputs_IAS19!$C$21*(C98-35)),0),0)</f>
        <v/>
      </c>
      <c r="O98">
        <f>O97*(1-M98-N98)</f>
        <v/>
      </c>
      <c r="P98">
        <f>O97*N98</f>
        <v/>
      </c>
      <c r="Q98">
        <f>$B$8*(1+Inputs_IAS19!$C$4)^A98</f>
        <v/>
      </c>
      <c r="R98">
        <f>Inputs_IAS19!$C$9*(1+Inputs_IAS19!$C$3)^(A98-1)</f>
        <v/>
      </c>
      <c r="S98">
        <f>MIN($B$7,Inputs_IAS19!$C$12)/Inputs_IAS19!$C$11*MAX(Q98-Inputs_IAS19!$C$10*R98,0)</f>
        <v/>
      </c>
      <c r="T98">
        <f>S98*(1+Inputs_IAS19!$C$5*0.5)*(1+Inputs_IAS19!$C$5)^($B$6-A98)</f>
        <v/>
      </c>
      <c r="U98">
        <f>IF(A98&lt;=$B$6,P98*(1-M98/2)*T98/E98,0)</f>
        <v/>
      </c>
    </row>
    <row r="99">
      <c r="A99" t="n">
        <v>81</v>
      </c>
      <c r="B99">
        <f>Inputs_IAS19!$C$2+A99</f>
        <v/>
      </c>
      <c r="C99">
        <f>$B$5+A99-1</f>
        <v/>
      </c>
      <c r="D99">
        <f>IF(C99&gt;=120,1,MIN(1,IF(A99&lt;=$B$6,IF($B$4="M",Inputs_IAS19!$C$13,Inputs_IAS19!$C$14),IF($B$4="M",Inputs_IAS19!$C$15,Inputs_IAS19!$C$16))*INDEX(ILT!$B$2:$C$122,MIN(C99,120)+1,IF($B$4="M",1,2))*(1-Inputs_IAS19!$C$17)^MAX(B99-Inputs_IAS19!$C$18,0)))</f>
        <v/>
      </c>
      <c r="E99">
        <f>E98*(1-D99)</f>
        <v/>
      </c>
      <c r="F99">
        <f>(E98+E99)/2</f>
        <v/>
      </c>
      <c r="G99">
        <f>IF(A99&lt;$B$6+1,0,IF(A99=$B$6+1,1,G98*(1+IF(B99=Inputs_IAS19!$C$7,Inputs_IAS19!$C$8,Inputs_IAS19!$C$6))))</f>
        <v/>
      </c>
      <c r="H99">
        <f>$B$12*G99*F99</f>
        <v/>
      </c>
      <c r="I99">
        <f>(1+Inputs_IAS19!$C$26)^-(A99-0.5)</f>
        <v/>
      </c>
      <c r="J99">
        <f>H99*I99</f>
        <v/>
      </c>
      <c r="K99">
        <f>H99*INDEX(Curve_IAS19!$D$2:$D$101,A99)</f>
        <v/>
      </c>
      <c r="M99">
        <f>IF(A99&lt;=$B$6,1-E99/E98,0)</f>
        <v/>
      </c>
      <c r="N99">
        <f>IF(A99&lt;=$B$6,Inputs_IAS19!$C$19*IF(C99&lt;Inputs_IAS19!$C$22,MAX(0,Inputs_IAS19!$C$20-Inputs_IAS19!$C$21*(C99-35)),0),0)</f>
        <v/>
      </c>
      <c r="O99">
        <f>O98*(1-M99-N99)</f>
        <v/>
      </c>
      <c r="P99">
        <f>O98*N99</f>
        <v/>
      </c>
      <c r="Q99">
        <f>$B$8*(1+Inputs_IAS19!$C$4)^A99</f>
        <v/>
      </c>
      <c r="R99">
        <f>Inputs_IAS19!$C$9*(1+Inputs_IAS19!$C$3)^(A99-1)</f>
        <v/>
      </c>
      <c r="S99">
        <f>MIN($B$7,Inputs_IAS19!$C$12)/Inputs_IAS19!$C$11*MAX(Q99-Inputs_IAS19!$C$10*R99,0)</f>
        <v/>
      </c>
      <c r="T99">
        <f>S99*(1+Inputs_IAS19!$C$5*0.5)*(1+Inputs_IAS19!$C$5)^($B$6-A99)</f>
        <v/>
      </c>
      <c r="U99">
        <f>IF(A99&lt;=$B$6,P99*(1-M99/2)*T99/E99,0)</f>
        <v/>
      </c>
    </row>
    <row r="100">
      <c r="A100" t="n">
        <v>82</v>
      </c>
      <c r="B100">
        <f>Inputs_IAS19!$C$2+A100</f>
        <v/>
      </c>
      <c r="C100">
        <f>$B$5+A100-1</f>
        <v/>
      </c>
      <c r="D100">
        <f>IF(C100&gt;=120,1,MIN(1,IF(A100&lt;=$B$6,IF($B$4="M",Inputs_IAS19!$C$13,Inputs_IAS19!$C$14),IF($B$4="M",Inputs_IAS19!$C$15,Inputs_IAS19!$C$16))*INDEX(ILT!$B$2:$C$122,MIN(C100,120)+1,IF($B$4="M",1,2))*(1-Inputs_IAS19!$C$17)^MAX(B100-Inputs_IAS19!$C$18,0)))</f>
        <v/>
      </c>
      <c r="E100">
        <f>E99*(1-D100)</f>
        <v/>
      </c>
      <c r="F100">
        <f>(E99+E100)/2</f>
        <v/>
      </c>
      <c r="G100">
        <f>IF(A100&lt;$B$6+1,0,IF(A100=$B$6+1,1,G99*(1+IF(B100=Inputs_IAS19!$C$7,Inputs_IAS19!$C$8,Inputs_IAS19!$C$6))))</f>
        <v/>
      </c>
      <c r="H100">
        <f>$B$12*G100*F100</f>
        <v/>
      </c>
      <c r="I100">
        <f>(1+Inputs_IAS19!$C$26)^-(A100-0.5)</f>
        <v/>
      </c>
      <c r="J100">
        <f>H100*I100</f>
        <v/>
      </c>
      <c r="K100">
        <f>H100*INDEX(Curve_IAS19!$D$2:$D$101,A100)</f>
        <v/>
      </c>
      <c r="M100">
        <f>IF(A100&lt;=$B$6,1-E100/E99,0)</f>
        <v/>
      </c>
      <c r="N100">
        <f>IF(A100&lt;=$B$6,Inputs_IAS19!$C$19*IF(C100&lt;Inputs_IAS19!$C$22,MAX(0,Inputs_IAS19!$C$20-Inputs_IAS19!$C$21*(C100-35)),0),0)</f>
        <v/>
      </c>
      <c r="O100">
        <f>O99*(1-M100-N100)</f>
        <v/>
      </c>
      <c r="P100">
        <f>O99*N100</f>
        <v/>
      </c>
      <c r="Q100">
        <f>$B$8*(1+Inputs_IAS19!$C$4)^A100</f>
        <v/>
      </c>
      <c r="R100">
        <f>Inputs_IAS19!$C$9*(1+Inputs_IAS19!$C$3)^(A100-1)</f>
        <v/>
      </c>
      <c r="S100">
        <f>MIN($B$7,Inputs_IAS19!$C$12)/Inputs_IAS19!$C$11*MAX(Q100-Inputs_IAS19!$C$10*R100,0)</f>
        <v/>
      </c>
      <c r="T100">
        <f>S100*(1+Inputs_IAS19!$C$5*0.5)*(1+Inputs_IAS19!$C$5)^($B$6-A100)</f>
        <v/>
      </c>
      <c r="U100">
        <f>IF(A100&lt;=$B$6,P100*(1-M100/2)*T100/E100,0)</f>
        <v/>
      </c>
    </row>
    <row r="101">
      <c r="A101" t="n">
        <v>83</v>
      </c>
      <c r="B101">
        <f>Inputs_IAS19!$C$2+A101</f>
        <v/>
      </c>
      <c r="C101">
        <f>$B$5+A101-1</f>
        <v/>
      </c>
      <c r="D101">
        <f>IF(C101&gt;=120,1,MIN(1,IF(A101&lt;=$B$6,IF($B$4="M",Inputs_IAS19!$C$13,Inputs_IAS19!$C$14),IF($B$4="M",Inputs_IAS19!$C$15,Inputs_IAS19!$C$16))*INDEX(ILT!$B$2:$C$122,MIN(C101,120)+1,IF($B$4="M",1,2))*(1-Inputs_IAS19!$C$17)^MAX(B101-Inputs_IAS19!$C$18,0)))</f>
        <v/>
      </c>
      <c r="E101">
        <f>E100*(1-D101)</f>
        <v/>
      </c>
      <c r="F101">
        <f>(E100+E101)/2</f>
        <v/>
      </c>
      <c r="G101">
        <f>IF(A101&lt;$B$6+1,0,IF(A101=$B$6+1,1,G100*(1+IF(B101=Inputs_IAS19!$C$7,Inputs_IAS19!$C$8,Inputs_IAS19!$C$6))))</f>
        <v/>
      </c>
      <c r="H101">
        <f>$B$12*G101*F101</f>
        <v/>
      </c>
      <c r="I101">
        <f>(1+Inputs_IAS19!$C$26)^-(A101-0.5)</f>
        <v/>
      </c>
      <c r="J101">
        <f>H101*I101</f>
        <v/>
      </c>
      <c r="K101">
        <f>H101*INDEX(Curve_IAS19!$D$2:$D$101,A101)</f>
        <v/>
      </c>
      <c r="M101">
        <f>IF(A101&lt;=$B$6,1-E101/E100,0)</f>
        <v/>
      </c>
      <c r="N101">
        <f>IF(A101&lt;=$B$6,Inputs_IAS19!$C$19*IF(C101&lt;Inputs_IAS19!$C$22,MAX(0,Inputs_IAS19!$C$20-Inputs_IAS19!$C$21*(C101-35)),0),0)</f>
        <v/>
      </c>
      <c r="O101">
        <f>O100*(1-M101-N101)</f>
        <v/>
      </c>
      <c r="P101">
        <f>O100*N101</f>
        <v/>
      </c>
      <c r="Q101">
        <f>$B$8*(1+Inputs_IAS19!$C$4)^A101</f>
        <v/>
      </c>
      <c r="R101">
        <f>Inputs_IAS19!$C$9*(1+Inputs_IAS19!$C$3)^(A101-1)</f>
        <v/>
      </c>
      <c r="S101">
        <f>MIN($B$7,Inputs_IAS19!$C$12)/Inputs_IAS19!$C$11*MAX(Q101-Inputs_IAS19!$C$10*R101,0)</f>
        <v/>
      </c>
      <c r="T101">
        <f>S101*(1+Inputs_IAS19!$C$5*0.5)*(1+Inputs_IAS19!$C$5)^($B$6-A101)</f>
        <v/>
      </c>
      <c r="U101">
        <f>IF(A101&lt;=$B$6,P101*(1-M101/2)*T101/E101,0)</f>
        <v/>
      </c>
    </row>
    <row r="102">
      <c r="A102" t="n">
        <v>84</v>
      </c>
      <c r="B102">
        <f>Inputs_IAS19!$C$2+A102</f>
        <v/>
      </c>
      <c r="C102">
        <f>$B$5+A102-1</f>
        <v/>
      </c>
      <c r="D102">
        <f>IF(C102&gt;=120,1,MIN(1,IF(A102&lt;=$B$6,IF($B$4="M",Inputs_IAS19!$C$13,Inputs_IAS19!$C$14),IF($B$4="M",Inputs_IAS19!$C$15,Inputs_IAS19!$C$16))*INDEX(ILT!$B$2:$C$122,MIN(C102,120)+1,IF($B$4="M",1,2))*(1-Inputs_IAS19!$C$17)^MAX(B102-Inputs_IAS19!$C$18,0)))</f>
        <v/>
      </c>
      <c r="E102">
        <f>E101*(1-D102)</f>
        <v/>
      </c>
      <c r="F102">
        <f>(E101+E102)/2</f>
        <v/>
      </c>
      <c r="G102">
        <f>IF(A102&lt;$B$6+1,0,IF(A102=$B$6+1,1,G101*(1+IF(B102=Inputs_IAS19!$C$7,Inputs_IAS19!$C$8,Inputs_IAS19!$C$6))))</f>
        <v/>
      </c>
      <c r="H102">
        <f>$B$12*G102*F102</f>
        <v/>
      </c>
      <c r="I102">
        <f>(1+Inputs_IAS19!$C$26)^-(A102-0.5)</f>
        <v/>
      </c>
      <c r="J102">
        <f>H102*I102</f>
        <v/>
      </c>
      <c r="K102">
        <f>H102*INDEX(Curve_IAS19!$D$2:$D$101,A102)</f>
        <v/>
      </c>
      <c r="M102">
        <f>IF(A102&lt;=$B$6,1-E102/E101,0)</f>
        <v/>
      </c>
      <c r="N102">
        <f>IF(A102&lt;=$B$6,Inputs_IAS19!$C$19*IF(C102&lt;Inputs_IAS19!$C$22,MAX(0,Inputs_IAS19!$C$20-Inputs_IAS19!$C$21*(C102-35)),0),0)</f>
        <v/>
      </c>
      <c r="O102">
        <f>O101*(1-M102-N102)</f>
        <v/>
      </c>
      <c r="P102">
        <f>O101*N102</f>
        <v/>
      </c>
      <c r="Q102">
        <f>$B$8*(1+Inputs_IAS19!$C$4)^A102</f>
        <v/>
      </c>
      <c r="R102">
        <f>Inputs_IAS19!$C$9*(1+Inputs_IAS19!$C$3)^(A102-1)</f>
        <v/>
      </c>
      <c r="S102">
        <f>MIN($B$7,Inputs_IAS19!$C$12)/Inputs_IAS19!$C$11*MAX(Q102-Inputs_IAS19!$C$10*R102,0)</f>
        <v/>
      </c>
      <c r="T102">
        <f>S102*(1+Inputs_IAS19!$C$5*0.5)*(1+Inputs_IAS19!$C$5)^($B$6-A102)</f>
        <v/>
      </c>
      <c r="U102">
        <f>IF(A102&lt;=$B$6,P102*(1-M102/2)*T102/E102,0)</f>
        <v/>
      </c>
    </row>
    <row r="103">
      <c r="A103" t="n">
        <v>85</v>
      </c>
      <c r="B103">
        <f>Inputs_IAS19!$C$2+A103</f>
        <v/>
      </c>
      <c r="C103">
        <f>$B$5+A103-1</f>
        <v/>
      </c>
      <c r="D103">
        <f>IF(C103&gt;=120,1,MIN(1,IF(A103&lt;=$B$6,IF($B$4="M",Inputs_IAS19!$C$13,Inputs_IAS19!$C$14),IF($B$4="M",Inputs_IAS19!$C$15,Inputs_IAS19!$C$16))*INDEX(ILT!$B$2:$C$122,MIN(C103,120)+1,IF($B$4="M",1,2))*(1-Inputs_IAS19!$C$17)^MAX(B103-Inputs_IAS19!$C$18,0)))</f>
        <v/>
      </c>
      <c r="E103">
        <f>E102*(1-D103)</f>
        <v/>
      </c>
      <c r="F103">
        <f>(E102+E103)/2</f>
        <v/>
      </c>
      <c r="G103">
        <f>IF(A103&lt;$B$6+1,0,IF(A103=$B$6+1,1,G102*(1+IF(B103=Inputs_IAS19!$C$7,Inputs_IAS19!$C$8,Inputs_IAS19!$C$6))))</f>
        <v/>
      </c>
      <c r="H103">
        <f>$B$12*G103*F103</f>
        <v/>
      </c>
      <c r="I103">
        <f>(1+Inputs_IAS19!$C$26)^-(A103-0.5)</f>
        <v/>
      </c>
      <c r="J103">
        <f>H103*I103</f>
        <v/>
      </c>
      <c r="K103">
        <f>H103*INDEX(Curve_IAS19!$D$2:$D$101,A103)</f>
        <v/>
      </c>
      <c r="M103">
        <f>IF(A103&lt;=$B$6,1-E103/E102,0)</f>
        <v/>
      </c>
      <c r="N103">
        <f>IF(A103&lt;=$B$6,Inputs_IAS19!$C$19*IF(C103&lt;Inputs_IAS19!$C$22,MAX(0,Inputs_IAS19!$C$20-Inputs_IAS19!$C$21*(C103-35)),0),0)</f>
        <v/>
      </c>
      <c r="O103">
        <f>O102*(1-M103-N103)</f>
        <v/>
      </c>
      <c r="P103">
        <f>O102*N103</f>
        <v/>
      </c>
      <c r="Q103">
        <f>$B$8*(1+Inputs_IAS19!$C$4)^A103</f>
        <v/>
      </c>
      <c r="R103">
        <f>Inputs_IAS19!$C$9*(1+Inputs_IAS19!$C$3)^(A103-1)</f>
        <v/>
      </c>
      <c r="S103">
        <f>MIN($B$7,Inputs_IAS19!$C$12)/Inputs_IAS19!$C$11*MAX(Q103-Inputs_IAS19!$C$10*R103,0)</f>
        <v/>
      </c>
      <c r="T103">
        <f>S103*(1+Inputs_IAS19!$C$5*0.5)*(1+Inputs_IAS19!$C$5)^($B$6-A103)</f>
        <v/>
      </c>
      <c r="U103">
        <f>IF(A103&lt;=$B$6,P103*(1-M103/2)*T103/E103,0)</f>
        <v/>
      </c>
    </row>
    <row r="104">
      <c r="A104" t="n">
        <v>86</v>
      </c>
      <c r="B104">
        <f>Inputs_IAS19!$C$2+A104</f>
        <v/>
      </c>
      <c r="C104">
        <f>$B$5+A104-1</f>
        <v/>
      </c>
      <c r="D104">
        <f>IF(C104&gt;=120,1,MIN(1,IF(A104&lt;=$B$6,IF($B$4="M",Inputs_IAS19!$C$13,Inputs_IAS19!$C$14),IF($B$4="M",Inputs_IAS19!$C$15,Inputs_IAS19!$C$16))*INDEX(ILT!$B$2:$C$122,MIN(C104,120)+1,IF($B$4="M",1,2))*(1-Inputs_IAS19!$C$17)^MAX(B104-Inputs_IAS19!$C$18,0)))</f>
        <v/>
      </c>
      <c r="E104">
        <f>E103*(1-D104)</f>
        <v/>
      </c>
      <c r="F104">
        <f>(E103+E104)/2</f>
        <v/>
      </c>
      <c r="G104">
        <f>IF(A104&lt;$B$6+1,0,IF(A104=$B$6+1,1,G103*(1+IF(B104=Inputs_IAS19!$C$7,Inputs_IAS19!$C$8,Inputs_IAS19!$C$6))))</f>
        <v/>
      </c>
      <c r="H104">
        <f>$B$12*G104*F104</f>
        <v/>
      </c>
      <c r="I104">
        <f>(1+Inputs_IAS19!$C$26)^-(A104-0.5)</f>
        <v/>
      </c>
      <c r="J104">
        <f>H104*I104</f>
        <v/>
      </c>
      <c r="K104">
        <f>H104*INDEX(Curve_IAS19!$D$2:$D$101,A104)</f>
        <v/>
      </c>
      <c r="M104">
        <f>IF(A104&lt;=$B$6,1-E104/E103,0)</f>
        <v/>
      </c>
      <c r="N104">
        <f>IF(A104&lt;=$B$6,Inputs_IAS19!$C$19*IF(C104&lt;Inputs_IAS19!$C$22,MAX(0,Inputs_IAS19!$C$20-Inputs_IAS19!$C$21*(C104-35)),0),0)</f>
        <v/>
      </c>
      <c r="O104">
        <f>O103*(1-M104-N104)</f>
        <v/>
      </c>
      <c r="P104">
        <f>O103*N104</f>
        <v/>
      </c>
      <c r="Q104">
        <f>$B$8*(1+Inputs_IAS19!$C$4)^A104</f>
        <v/>
      </c>
      <c r="R104">
        <f>Inputs_IAS19!$C$9*(1+Inputs_IAS19!$C$3)^(A104-1)</f>
        <v/>
      </c>
      <c r="S104">
        <f>MIN($B$7,Inputs_IAS19!$C$12)/Inputs_IAS19!$C$11*MAX(Q104-Inputs_IAS19!$C$10*R104,0)</f>
        <v/>
      </c>
      <c r="T104">
        <f>S104*(1+Inputs_IAS19!$C$5*0.5)*(1+Inputs_IAS19!$C$5)^($B$6-A104)</f>
        <v/>
      </c>
      <c r="U104">
        <f>IF(A104&lt;=$B$6,P104*(1-M104/2)*T104/E104,0)</f>
        <v/>
      </c>
    </row>
    <row r="105">
      <c r="A105" t="n">
        <v>87</v>
      </c>
      <c r="B105">
        <f>Inputs_IAS19!$C$2+A105</f>
        <v/>
      </c>
      <c r="C105">
        <f>$B$5+A105-1</f>
        <v/>
      </c>
      <c r="D105">
        <f>IF(C105&gt;=120,1,MIN(1,IF(A105&lt;=$B$6,IF($B$4="M",Inputs_IAS19!$C$13,Inputs_IAS19!$C$14),IF($B$4="M",Inputs_IAS19!$C$15,Inputs_IAS19!$C$16))*INDEX(ILT!$B$2:$C$122,MIN(C105,120)+1,IF($B$4="M",1,2))*(1-Inputs_IAS19!$C$17)^MAX(B105-Inputs_IAS19!$C$18,0)))</f>
        <v/>
      </c>
      <c r="E105">
        <f>E104*(1-D105)</f>
        <v/>
      </c>
      <c r="F105">
        <f>(E104+E105)/2</f>
        <v/>
      </c>
      <c r="G105">
        <f>IF(A105&lt;$B$6+1,0,IF(A105=$B$6+1,1,G104*(1+IF(B105=Inputs_IAS19!$C$7,Inputs_IAS19!$C$8,Inputs_IAS19!$C$6))))</f>
        <v/>
      </c>
      <c r="H105">
        <f>$B$12*G105*F105</f>
        <v/>
      </c>
      <c r="I105">
        <f>(1+Inputs_IAS19!$C$26)^-(A105-0.5)</f>
        <v/>
      </c>
      <c r="J105">
        <f>H105*I105</f>
        <v/>
      </c>
      <c r="K105">
        <f>H105*INDEX(Curve_IAS19!$D$2:$D$101,A105)</f>
        <v/>
      </c>
      <c r="M105">
        <f>IF(A105&lt;=$B$6,1-E105/E104,0)</f>
        <v/>
      </c>
      <c r="N105">
        <f>IF(A105&lt;=$B$6,Inputs_IAS19!$C$19*IF(C105&lt;Inputs_IAS19!$C$22,MAX(0,Inputs_IAS19!$C$20-Inputs_IAS19!$C$21*(C105-35)),0),0)</f>
        <v/>
      </c>
      <c r="O105">
        <f>O104*(1-M105-N105)</f>
        <v/>
      </c>
      <c r="P105">
        <f>O104*N105</f>
        <v/>
      </c>
      <c r="Q105">
        <f>$B$8*(1+Inputs_IAS19!$C$4)^A105</f>
        <v/>
      </c>
      <c r="R105">
        <f>Inputs_IAS19!$C$9*(1+Inputs_IAS19!$C$3)^(A105-1)</f>
        <v/>
      </c>
      <c r="S105">
        <f>MIN($B$7,Inputs_IAS19!$C$12)/Inputs_IAS19!$C$11*MAX(Q105-Inputs_IAS19!$C$10*R105,0)</f>
        <v/>
      </c>
      <c r="T105">
        <f>S105*(1+Inputs_IAS19!$C$5*0.5)*(1+Inputs_IAS19!$C$5)^($B$6-A105)</f>
        <v/>
      </c>
      <c r="U105">
        <f>IF(A105&lt;=$B$6,P105*(1-M105/2)*T105/E105,0)</f>
        <v/>
      </c>
    </row>
    <row r="106">
      <c r="A106" t="n">
        <v>88</v>
      </c>
      <c r="B106">
        <f>Inputs_IAS19!$C$2+A106</f>
        <v/>
      </c>
      <c r="C106">
        <f>$B$5+A106-1</f>
        <v/>
      </c>
      <c r="D106">
        <f>IF(C106&gt;=120,1,MIN(1,IF(A106&lt;=$B$6,IF($B$4="M",Inputs_IAS19!$C$13,Inputs_IAS19!$C$14),IF($B$4="M",Inputs_IAS19!$C$15,Inputs_IAS19!$C$16))*INDEX(ILT!$B$2:$C$122,MIN(C106,120)+1,IF($B$4="M",1,2))*(1-Inputs_IAS19!$C$17)^MAX(B106-Inputs_IAS19!$C$18,0)))</f>
        <v/>
      </c>
      <c r="E106">
        <f>E105*(1-D106)</f>
        <v/>
      </c>
      <c r="F106">
        <f>(E105+E106)/2</f>
        <v/>
      </c>
      <c r="G106">
        <f>IF(A106&lt;$B$6+1,0,IF(A106=$B$6+1,1,G105*(1+IF(B106=Inputs_IAS19!$C$7,Inputs_IAS19!$C$8,Inputs_IAS19!$C$6))))</f>
        <v/>
      </c>
      <c r="H106">
        <f>$B$12*G106*F106</f>
        <v/>
      </c>
      <c r="I106">
        <f>(1+Inputs_IAS19!$C$26)^-(A106-0.5)</f>
        <v/>
      </c>
      <c r="J106">
        <f>H106*I106</f>
        <v/>
      </c>
      <c r="K106">
        <f>H106*INDEX(Curve_IAS19!$D$2:$D$101,A106)</f>
        <v/>
      </c>
      <c r="M106">
        <f>IF(A106&lt;=$B$6,1-E106/E105,0)</f>
        <v/>
      </c>
      <c r="N106">
        <f>IF(A106&lt;=$B$6,Inputs_IAS19!$C$19*IF(C106&lt;Inputs_IAS19!$C$22,MAX(0,Inputs_IAS19!$C$20-Inputs_IAS19!$C$21*(C106-35)),0),0)</f>
        <v/>
      </c>
      <c r="O106">
        <f>O105*(1-M106-N106)</f>
        <v/>
      </c>
      <c r="P106">
        <f>O105*N106</f>
        <v/>
      </c>
      <c r="Q106">
        <f>$B$8*(1+Inputs_IAS19!$C$4)^A106</f>
        <v/>
      </c>
      <c r="R106">
        <f>Inputs_IAS19!$C$9*(1+Inputs_IAS19!$C$3)^(A106-1)</f>
        <v/>
      </c>
      <c r="S106">
        <f>MIN($B$7,Inputs_IAS19!$C$12)/Inputs_IAS19!$C$11*MAX(Q106-Inputs_IAS19!$C$10*R106,0)</f>
        <v/>
      </c>
      <c r="T106">
        <f>S106*(1+Inputs_IAS19!$C$5*0.5)*(1+Inputs_IAS19!$C$5)^($B$6-A106)</f>
        <v/>
      </c>
      <c r="U106">
        <f>IF(A106&lt;=$B$6,P106*(1-M106/2)*T106/E106,0)</f>
        <v/>
      </c>
    </row>
    <row r="107">
      <c r="A107" t="n">
        <v>89</v>
      </c>
      <c r="B107">
        <f>Inputs_IAS19!$C$2+A107</f>
        <v/>
      </c>
      <c r="C107">
        <f>$B$5+A107-1</f>
        <v/>
      </c>
      <c r="D107">
        <f>IF(C107&gt;=120,1,MIN(1,IF(A107&lt;=$B$6,IF($B$4="M",Inputs_IAS19!$C$13,Inputs_IAS19!$C$14),IF($B$4="M",Inputs_IAS19!$C$15,Inputs_IAS19!$C$16))*INDEX(ILT!$B$2:$C$122,MIN(C107,120)+1,IF($B$4="M",1,2))*(1-Inputs_IAS19!$C$17)^MAX(B107-Inputs_IAS19!$C$18,0)))</f>
        <v/>
      </c>
      <c r="E107">
        <f>E106*(1-D107)</f>
        <v/>
      </c>
      <c r="F107">
        <f>(E106+E107)/2</f>
        <v/>
      </c>
      <c r="G107">
        <f>IF(A107&lt;$B$6+1,0,IF(A107=$B$6+1,1,G106*(1+IF(B107=Inputs_IAS19!$C$7,Inputs_IAS19!$C$8,Inputs_IAS19!$C$6))))</f>
        <v/>
      </c>
      <c r="H107">
        <f>$B$12*G107*F107</f>
        <v/>
      </c>
      <c r="I107">
        <f>(1+Inputs_IAS19!$C$26)^-(A107-0.5)</f>
        <v/>
      </c>
      <c r="J107">
        <f>H107*I107</f>
        <v/>
      </c>
      <c r="K107">
        <f>H107*INDEX(Curve_IAS19!$D$2:$D$101,A107)</f>
        <v/>
      </c>
      <c r="M107">
        <f>IF(A107&lt;=$B$6,1-E107/E106,0)</f>
        <v/>
      </c>
      <c r="N107">
        <f>IF(A107&lt;=$B$6,Inputs_IAS19!$C$19*IF(C107&lt;Inputs_IAS19!$C$22,MAX(0,Inputs_IAS19!$C$20-Inputs_IAS19!$C$21*(C107-35)),0),0)</f>
        <v/>
      </c>
      <c r="O107">
        <f>O106*(1-M107-N107)</f>
        <v/>
      </c>
      <c r="P107">
        <f>O106*N107</f>
        <v/>
      </c>
      <c r="Q107">
        <f>$B$8*(1+Inputs_IAS19!$C$4)^A107</f>
        <v/>
      </c>
      <c r="R107">
        <f>Inputs_IAS19!$C$9*(1+Inputs_IAS19!$C$3)^(A107-1)</f>
        <v/>
      </c>
      <c r="S107">
        <f>MIN($B$7,Inputs_IAS19!$C$12)/Inputs_IAS19!$C$11*MAX(Q107-Inputs_IAS19!$C$10*R107,0)</f>
        <v/>
      </c>
      <c r="T107">
        <f>S107*(1+Inputs_IAS19!$C$5*0.5)*(1+Inputs_IAS19!$C$5)^($B$6-A107)</f>
        <v/>
      </c>
      <c r="U107">
        <f>IF(A107&lt;=$B$6,P107*(1-M107/2)*T107/E107,0)</f>
        <v/>
      </c>
    </row>
    <row r="108">
      <c r="A108" t="n">
        <v>90</v>
      </c>
      <c r="B108">
        <f>Inputs_IAS19!$C$2+A108</f>
        <v/>
      </c>
      <c r="C108">
        <f>$B$5+A108-1</f>
        <v/>
      </c>
      <c r="D108">
        <f>IF(C108&gt;=120,1,MIN(1,IF(A108&lt;=$B$6,IF($B$4="M",Inputs_IAS19!$C$13,Inputs_IAS19!$C$14),IF($B$4="M",Inputs_IAS19!$C$15,Inputs_IAS19!$C$16))*INDEX(ILT!$B$2:$C$122,MIN(C108,120)+1,IF($B$4="M",1,2))*(1-Inputs_IAS19!$C$17)^MAX(B108-Inputs_IAS19!$C$18,0)))</f>
        <v/>
      </c>
      <c r="E108">
        <f>E107*(1-D108)</f>
        <v/>
      </c>
      <c r="F108">
        <f>(E107+E108)/2</f>
        <v/>
      </c>
      <c r="G108">
        <f>IF(A108&lt;$B$6+1,0,IF(A108=$B$6+1,1,G107*(1+IF(B108=Inputs_IAS19!$C$7,Inputs_IAS19!$C$8,Inputs_IAS19!$C$6))))</f>
        <v/>
      </c>
      <c r="H108">
        <f>$B$12*G108*F108</f>
        <v/>
      </c>
      <c r="I108">
        <f>(1+Inputs_IAS19!$C$26)^-(A108-0.5)</f>
        <v/>
      </c>
      <c r="J108">
        <f>H108*I108</f>
        <v/>
      </c>
      <c r="K108">
        <f>H108*INDEX(Curve_IAS19!$D$2:$D$101,A108)</f>
        <v/>
      </c>
      <c r="M108">
        <f>IF(A108&lt;=$B$6,1-E108/E107,0)</f>
        <v/>
      </c>
      <c r="N108">
        <f>IF(A108&lt;=$B$6,Inputs_IAS19!$C$19*IF(C108&lt;Inputs_IAS19!$C$22,MAX(0,Inputs_IAS19!$C$20-Inputs_IAS19!$C$21*(C108-35)),0),0)</f>
        <v/>
      </c>
      <c r="O108">
        <f>O107*(1-M108-N108)</f>
        <v/>
      </c>
      <c r="P108">
        <f>O107*N108</f>
        <v/>
      </c>
      <c r="Q108">
        <f>$B$8*(1+Inputs_IAS19!$C$4)^A108</f>
        <v/>
      </c>
      <c r="R108">
        <f>Inputs_IAS19!$C$9*(1+Inputs_IAS19!$C$3)^(A108-1)</f>
        <v/>
      </c>
      <c r="S108">
        <f>MIN($B$7,Inputs_IAS19!$C$12)/Inputs_IAS19!$C$11*MAX(Q108-Inputs_IAS19!$C$10*R108,0)</f>
        <v/>
      </c>
      <c r="T108">
        <f>S108*(1+Inputs_IAS19!$C$5*0.5)*(1+Inputs_IAS19!$C$5)^($B$6-A108)</f>
        <v/>
      </c>
      <c r="U108">
        <f>IF(A108&lt;=$B$6,P108*(1-M108/2)*T108/E108,0)</f>
        <v/>
      </c>
    </row>
    <row r="109">
      <c r="A109" t="n">
        <v>91</v>
      </c>
      <c r="B109">
        <f>Inputs_IAS19!$C$2+A109</f>
        <v/>
      </c>
      <c r="C109">
        <f>$B$5+A109-1</f>
        <v/>
      </c>
      <c r="D109">
        <f>IF(C109&gt;=120,1,MIN(1,IF(A109&lt;=$B$6,IF($B$4="M",Inputs_IAS19!$C$13,Inputs_IAS19!$C$14),IF($B$4="M",Inputs_IAS19!$C$15,Inputs_IAS19!$C$16))*INDEX(ILT!$B$2:$C$122,MIN(C109,120)+1,IF($B$4="M",1,2))*(1-Inputs_IAS19!$C$17)^MAX(B109-Inputs_IAS19!$C$18,0)))</f>
        <v/>
      </c>
      <c r="E109">
        <f>E108*(1-D109)</f>
        <v/>
      </c>
      <c r="F109">
        <f>(E108+E109)/2</f>
        <v/>
      </c>
      <c r="G109">
        <f>IF(A109&lt;$B$6+1,0,IF(A109=$B$6+1,1,G108*(1+IF(B109=Inputs_IAS19!$C$7,Inputs_IAS19!$C$8,Inputs_IAS19!$C$6))))</f>
        <v/>
      </c>
      <c r="H109">
        <f>$B$12*G109*F109</f>
        <v/>
      </c>
      <c r="I109">
        <f>(1+Inputs_IAS19!$C$26)^-(A109-0.5)</f>
        <v/>
      </c>
      <c r="J109">
        <f>H109*I109</f>
        <v/>
      </c>
      <c r="K109">
        <f>H109*INDEX(Curve_IAS19!$D$2:$D$101,A109)</f>
        <v/>
      </c>
      <c r="M109">
        <f>IF(A109&lt;=$B$6,1-E109/E108,0)</f>
        <v/>
      </c>
      <c r="N109">
        <f>IF(A109&lt;=$B$6,Inputs_IAS19!$C$19*IF(C109&lt;Inputs_IAS19!$C$22,MAX(0,Inputs_IAS19!$C$20-Inputs_IAS19!$C$21*(C109-35)),0),0)</f>
        <v/>
      </c>
      <c r="O109">
        <f>O108*(1-M109-N109)</f>
        <v/>
      </c>
      <c r="P109">
        <f>O108*N109</f>
        <v/>
      </c>
      <c r="Q109">
        <f>$B$8*(1+Inputs_IAS19!$C$4)^A109</f>
        <v/>
      </c>
      <c r="R109">
        <f>Inputs_IAS19!$C$9*(1+Inputs_IAS19!$C$3)^(A109-1)</f>
        <v/>
      </c>
      <c r="S109">
        <f>MIN($B$7,Inputs_IAS19!$C$12)/Inputs_IAS19!$C$11*MAX(Q109-Inputs_IAS19!$C$10*R109,0)</f>
        <v/>
      </c>
      <c r="T109">
        <f>S109*(1+Inputs_IAS19!$C$5*0.5)*(1+Inputs_IAS19!$C$5)^($B$6-A109)</f>
        <v/>
      </c>
      <c r="U109">
        <f>IF(A109&lt;=$B$6,P109*(1-M109/2)*T109/E109,0)</f>
        <v/>
      </c>
    </row>
    <row r="110">
      <c r="A110" t="n">
        <v>92</v>
      </c>
      <c r="B110">
        <f>Inputs_IAS19!$C$2+A110</f>
        <v/>
      </c>
      <c r="C110">
        <f>$B$5+A110-1</f>
        <v/>
      </c>
      <c r="D110">
        <f>IF(C110&gt;=120,1,MIN(1,IF(A110&lt;=$B$6,IF($B$4="M",Inputs_IAS19!$C$13,Inputs_IAS19!$C$14),IF($B$4="M",Inputs_IAS19!$C$15,Inputs_IAS19!$C$16))*INDEX(ILT!$B$2:$C$122,MIN(C110,120)+1,IF($B$4="M",1,2))*(1-Inputs_IAS19!$C$17)^MAX(B110-Inputs_IAS19!$C$18,0)))</f>
        <v/>
      </c>
      <c r="E110">
        <f>E109*(1-D110)</f>
        <v/>
      </c>
      <c r="F110">
        <f>(E109+E110)/2</f>
        <v/>
      </c>
      <c r="G110">
        <f>IF(A110&lt;$B$6+1,0,IF(A110=$B$6+1,1,G109*(1+IF(B110=Inputs_IAS19!$C$7,Inputs_IAS19!$C$8,Inputs_IAS19!$C$6))))</f>
        <v/>
      </c>
      <c r="H110">
        <f>$B$12*G110*F110</f>
        <v/>
      </c>
      <c r="I110">
        <f>(1+Inputs_IAS19!$C$26)^-(A110-0.5)</f>
        <v/>
      </c>
      <c r="J110">
        <f>H110*I110</f>
        <v/>
      </c>
      <c r="K110">
        <f>H110*INDEX(Curve_IAS19!$D$2:$D$101,A110)</f>
        <v/>
      </c>
      <c r="M110">
        <f>IF(A110&lt;=$B$6,1-E110/E109,0)</f>
        <v/>
      </c>
      <c r="N110">
        <f>IF(A110&lt;=$B$6,Inputs_IAS19!$C$19*IF(C110&lt;Inputs_IAS19!$C$22,MAX(0,Inputs_IAS19!$C$20-Inputs_IAS19!$C$21*(C110-35)),0),0)</f>
        <v/>
      </c>
      <c r="O110">
        <f>O109*(1-M110-N110)</f>
        <v/>
      </c>
      <c r="P110">
        <f>O109*N110</f>
        <v/>
      </c>
      <c r="Q110">
        <f>$B$8*(1+Inputs_IAS19!$C$4)^A110</f>
        <v/>
      </c>
      <c r="R110">
        <f>Inputs_IAS19!$C$9*(1+Inputs_IAS19!$C$3)^(A110-1)</f>
        <v/>
      </c>
      <c r="S110">
        <f>MIN($B$7,Inputs_IAS19!$C$12)/Inputs_IAS19!$C$11*MAX(Q110-Inputs_IAS19!$C$10*R110,0)</f>
        <v/>
      </c>
      <c r="T110">
        <f>S110*(1+Inputs_IAS19!$C$5*0.5)*(1+Inputs_IAS19!$C$5)^($B$6-A110)</f>
        <v/>
      </c>
      <c r="U110">
        <f>IF(A110&lt;=$B$6,P110*(1-M110/2)*T110/E110,0)</f>
        <v/>
      </c>
    </row>
    <row r="111">
      <c r="A111" t="n">
        <v>93</v>
      </c>
      <c r="B111">
        <f>Inputs_IAS19!$C$2+A111</f>
        <v/>
      </c>
      <c r="C111">
        <f>$B$5+A111-1</f>
        <v/>
      </c>
      <c r="D111">
        <f>IF(C111&gt;=120,1,MIN(1,IF(A111&lt;=$B$6,IF($B$4="M",Inputs_IAS19!$C$13,Inputs_IAS19!$C$14),IF($B$4="M",Inputs_IAS19!$C$15,Inputs_IAS19!$C$16))*INDEX(ILT!$B$2:$C$122,MIN(C111,120)+1,IF($B$4="M",1,2))*(1-Inputs_IAS19!$C$17)^MAX(B111-Inputs_IAS19!$C$18,0)))</f>
        <v/>
      </c>
      <c r="E111">
        <f>E110*(1-D111)</f>
        <v/>
      </c>
      <c r="F111">
        <f>(E110+E111)/2</f>
        <v/>
      </c>
      <c r="G111">
        <f>IF(A111&lt;$B$6+1,0,IF(A111=$B$6+1,1,G110*(1+IF(B111=Inputs_IAS19!$C$7,Inputs_IAS19!$C$8,Inputs_IAS19!$C$6))))</f>
        <v/>
      </c>
      <c r="H111">
        <f>$B$12*G111*F111</f>
        <v/>
      </c>
      <c r="I111">
        <f>(1+Inputs_IAS19!$C$26)^-(A111-0.5)</f>
        <v/>
      </c>
      <c r="J111">
        <f>H111*I111</f>
        <v/>
      </c>
      <c r="K111">
        <f>H111*INDEX(Curve_IAS19!$D$2:$D$101,A111)</f>
        <v/>
      </c>
      <c r="M111">
        <f>IF(A111&lt;=$B$6,1-E111/E110,0)</f>
        <v/>
      </c>
      <c r="N111">
        <f>IF(A111&lt;=$B$6,Inputs_IAS19!$C$19*IF(C111&lt;Inputs_IAS19!$C$22,MAX(0,Inputs_IAS19!$C$20-Inputs_IAS19!$C$21*(C111-35)),0),0)</f>
        <v/>
      </c>
      <c r="O111">
        <f>O110*(1-M111-N111)</f>
        <v/>
      </c>
      <c r="P111">
        <f>O110*N111</f>
        <v/>
      </c>
      <c r="Q111">
        <f>$B$8*(1+Inputs_IAS19!$C$4)^A111</f>
        <v/>
      </c>
      <c r="R111">
        <f>Inputs_IAS19!$C$9*(1+Inputs_IAS19!$C$3)^(A111-1)</f>
        <v/>
      </c>
      <c r="S111">
        <f>MIN($B$7,Inputs_IAS19!$C$12)/Inputs_IAS19!$C$11*MAX(Q111-Inputs_IAS19!$C$10*R111,0)</f>
        <v/>
      </c>
      <c r="T111">
        <f>S111*(1+Inputs_IAS19!$C$5*0.5)*(1+Inputs_IAS19!$C$5)^($B$6-A111)</f>
        <v/>
      </c>
      <c r="U111">
        <f>IF(A111&lt;=$B$6,P111*(1-M111/2)*T111/E111,0)</f>
        <v/>
      </c>
    </row>
    <row r="112">
      <c r="A112" t="n">
        <v>94</v>
      </c>
      <c r="B112">
        <f>Inputs_IAS19!$C$2+A112</f>
        <v/>
      </c>
      <c r="C112">
        <f>$B$5+A112-1</f>
        <v/>
      </c>
      <c r="D112">
        <f>IF(C112&gt;=120,1,MIN(1,IF(A112&lt;=$B$6,IF($B$4="M",Inputs_IAS19!$C$13,Inputs_IAS19!$C$14),IF($B$4="M",Inputs_IAS19!$C$15,Inputs_IAS19!$C$16))*INDEX(ILT!$B$2:$C$122,MIN(C112,120)+1,IF($B$4="M",1,2))*(1-Inputs_IAS19!$C$17)^MAX(B112-Inputs_IAS19!$C$18,0)))</f>
        <v/>
      </c>
      <c r="E112">
        <f>E111*(1-D112)</f>
        <v/>
      </c>
      <c r="F112">
        <f>(E111+E112)/2</f>
        <v/>
      </c>
      <c r="G112">
        <f>IF(A112&lt;$B$6+1,0,IF(A112=$B$6+1,1,G111*(1+IF(B112=Inputs_IAS19!$C$7,Inputs_IAS19!$C$8,Inputs_IAS19!$C$6))))</f>
        <v/>
      </c>
      <c r="H112">
        <f>$B$12*G112*F112</f>
        <v/>
      </c>
      <c r="I112">
        <f>(1+Inputs_IAS19!$C$26)^-(A112-0.5)</f>
        <v/>
      </c>
      <c r="J112">
        <f>H112*I112</f>
        <v/>
      </c>
      <c r="K112">
        <f>H112*INDEX(Curve_IAS19!$D$2:$D$101,A112)</f>
        <v/>
      </c>
      <c r="M112">
        <f>IF(A112&lt;=$B$6,1-E112/E111,0)</f>
        <v/>
      </c>
      <c r="N112">
        <f>IF(A112&lt;=$B$6,Inputs_IAS19!$C$19*IF(C112&lt;Inputs_IAS19!$C$22,MAX(0,Inputs_IAS19!$C$20-Inputs_IAS19!$C$21*(C112-35)),0),0)</f>
        <v/>
      </c>
      <c r="O112">
        <f>O111*(1-M112-N112)</f>
        <v/>
      </c>
      <c r="P112">
        <f>O111*N112</f>
        <v/>
      </c>
      <c r="Q112">
        <f>$B$8*(1+Inputs_IAS19!$C$4)^A112</f>
        <v/>
      </c>
      <c r="R112">
        <f>Inputs_IAS19!$C$9*(1+Inputs_IAS19!$C$3)^(A112-1)</f>
        <v/>
      </c>
      <c r="S112">
        <f>MIN($B$7,Inputs_IAS19!$C$12)/Inputs_IAS19!$C$11*MAX(Q112-Inputs_IAS19!$C$10*R112,0)</f>
        <v/>
      </c>
      <c r="T112">
        <f>S112*(1+Inputs_IAS19!$C$5*0.5)*(1+Inputs_IAS19!$C$5)^($B$6-A112)</f>
        <v/>
      </c>
      <c r="U112">
        <f>IF(A112&lt;=$B$6,P112*(1-M112/2)*T112/E112,0)</f>
        <v/>
      </c>
    </row>
    <row r="113">
      <c r="A113" t="n">
        <v>95</v>
      </c>
      <c r="B113">
        <f>Inputs_IAS19!$C$2+A113</f>
        <v/>
      </c>
      <c r="C113">
        <f>$B$5+A113-1</f>
        <v/>
      </c>
      <c r="D113">
        <f>IF(C113&gt;=120,1,MIN(1,IF(A113&lt;=$B$6,IF($B$4="M",Inputs_IAS19!$C$13,Inputs_IAS19!$C$14),IF($B$4="M",Inputs_IAS19!$C$15,Inputs_IAS19!$C$16))*INDEX(ILT!$B$2:$C$122,MIN(C113,120)+1,IF($B$4="M",1,2))*(1-Inputs_IAS19!$C$17)^MAX(B113-Inputs_IAS19!$C$18,0)))</f>
        <v/>
      </c>
      <c r="E113">
        <f>E112*(1-D113)</f>
        <v/>
      </c>
      <c r="F113">
        <f>(E112+E113)/2</f>
        <v/>
      </c>
      <c r="G113">
        <f>IF(A113&lt;$B$6+1,0,IF(A113=$B$6+1,1,G112*(1+IF(B113=Inputs_IAS19!$C$7,Inputs_IAS19!$C$8,Inputs_IAS19!$C$6))))</f>
        <v/>
      </c>
      <c r="H113">
        <f>$B$12*G113*F113</f>
        <v/>
      </c>
      <c r="I113">
        <f>(1+Inputs_IAS19!$C$26)^-(A113-0.5)</f>
        <v/>
      </c>
      <c r="J113">
        <f>H113*I113</f>
        <v/>
      </c>
      <c r="K113">
        <f>H113*INDEX(Curve_IAS19!$D$2:$D$101,A113)</f>
        <v/>
      </c>
      <c r="M113">
        <f>IF(A113&lt;=$B$6,1-E113/E112,0)</f>
        <v/>
      </c>
      <c r="N113">
        <f>IF(A113&lt;=$B$6,Inputs_IAS19!$C$19*IF(C113&lt;Inputs_IAS19!$C$22,MAX(0,Inputs_IAS19!$C$20-Inputs_IAS19!$C$21*(C113-35)),0),0)</f>
        <v/>
      </c>
      <c r="O113">
        <f>O112*(1-M113-N113)</f>
        <v/>
      </c>
      <c r="P113">
        <f>O112*N113</f>
        <v/>
      </c>
      <c r="Q113">
        <f>$B$8*(1+Inputs_IAS19!$C$4)^A113</f>
        <v/>
      </c>
      <c r="R113">
        <f>Inputs_IAS19!$C$9*(1+Inputs_IAS19!$C$3)^(A113-1)</f>
        <v/>
      </c>
      <c r="S113">
        <f>MIN($B$7,Inputs_IAS19!$C$12)/Inputs_IAS19!$C$11*MAX(Q113-Inputs_IAS19!$C$10*R113,0)</f>
        <v/>
      </c>
      <c r="T113">
        <f>S113*(1+Inputs_IAS19!$C$5*0.5)*(1+Inputs_IAS19!$C$5)^($B$6-A113)</f>
        <v/>
      </c>
      <c r="U113">
        <f>IF(A113&lt;=$B$6,P113*(1-M113/2)*T113/E113,0)</f>
        <v/>
      </c>
    </row>
    <row r="114">
      <c r="A114" t="n">
        <v>96</v>
      </c>
      <c r="B114">
        <f>Inputs_IAS19!$C$2+A114</f>
        <v/>
      </c>
      <c r="C114">
        <f>$B$5+A114-1</f>
        <v/>
      </c>
      <c r="D114">
        <f>IF(C114&gt;=120,1,MIN(1,IF(A114&lt;=$B$6,IF($B$4="M",Inputs_IAS19!$C$13,Inputs_IAS19!$C$14),IF($B$4="M",Inputs_IAS19!$C$15,Inputs_IAS19!$C$16))*INDEX(ILT!$B$2:$C$122,MIN(C114,120)+1,IF($B$4="M",1,2))*(1-Inputs_IAS19!$C$17)^MAX(B114-Inputs_IAS19!$C$18,0)))</f>
        <v/>
      </c>
      <c r="E114">
        <f>E113*(1-D114)</f>
        <v/>
      </c>
      <c r="F114">
        <f>(E113+E114)/2</f>
        <v/>
      </c>
      <c r="G114">
        <f>IF(A114&lt;$B$6+1,0,IF(A114=$B$6+1,1,G113*(1+IF(B114=Inputs_IAS19!$C$7,Inputs_IAS19!$C$8,Inputs_IAS19!$C$6))))</f>
        <v/>
      </c>
      <c r="H114">
        <f>$B$12*G114*F114</f>
        <v/>
      </c>
      <c r="I114">
        <f>(1+Inputs_IAS19!$C$26)^-(A114-0.5)</f>
        <v/>
      </c>
      <c r="J114">
        <f>H114*I114</f>
        <v/>
      </c>
      <c r="K114">
        <f>H114*INDEX(Curve_IAS19!$D$2:$D$101,A114)</f>
        <v/>
      </c>
      <c r="M114">
        <f>IF(A114&lt;=$B$6,1-E114/E113,0)</f>
        <v/>
      </c>
      <c r="N114">
        <f>IF(A114&lt;=$B$6,Inputs_IAS19!$C$19*IF(C114&lt;Inputs_IAS19!$C$22,MAX(0,Inputs_IAS19!$C$20-Inputs_IAS19!$C$21*(C114-35)),0),0)</f>
        <v/>
      </c>
      <c r="O114">
        <f>O113*(1-M114-N114)</f>
        <v/>
      </c>
      <c r="P114">
        <f>O113*N114</f>
        <v/>
      </c>
      <c r="Q114">
        <f>$B$8*(1+Inputs_IAS19!$C$4)^A114</f>
        <v/>
      </c>
      <c r="R114">
        <f>Inputs_IAS19!$C$9*(1+Inputs_IAS19!$C$3)^(A114-1)</f>
        <v/>
      </c>
      <c r="S114">
        <f>MIN($B$7,Inputs_IAS19!$C$12)/Inputs_IAS19!$C$11*MAX(Q114-Inputs_IAS19!$C$10*R114,0)</f>
        <v/>
      </c>
      <c r="T114">
        <f>S114*(1+Inputs_IAS19!$C$5*0.5)*(1+Inputs_IAS19!$C$5)^($B$6-A114)</f>
        <v/>
      </c>
      <c r="U114">
        <f>IF(A114&lt;=$B$6,P114*(1-M114/2)*T114/E114,0)</f>
        <v/>
      </c>
    </row>
    <row r="115">
      <c r="A115" t="n">
        <v>97</v>
      </c>
      <c r="B115">
        <f>Inputs_IAS19!$C$2+A115</f>
        <v/>
      </c>
      <c r="C115">
        <f>$B$5+A115-1</f>
        <v/>
      </c>
      <c r="D115">
        <f>IF(C115&gt;=120,1,MIN(1,IF(A115&lt;=$B$6,IF($B$4="M",Inputs_IAS19!$C$13,Inputs_IAS19!$C$14),IF($B$4="M",Inputs_IAS19!$C$15,Inputs_IAS19!$C$16))*INDEX(ILT!$B$2:$C$122,MIN(C115,120)+1,IF($B$4="M",1,2))*(1-Inputs_IAS19!$C$17)^MAX(B115-Inputs_IAS19!$C$18,0)))</f>
        <v/>
      </c>
      <c r="E115">
        <f>E114*(1-D115)</f>
        <v/>
      </c>
      <c r="F115">
        <f>(E114+E115)/2</f>
        <v/>
      </c>
      <c r="G115">
        <f>IF(A115&lt;$B$6+1,0,IF(A115=$B$6+1,1,G114*(1+IF(B115=Inputs_IAS19!$C$7,Inputs_IAS19!$C$8,Inputs_IAS19!$C$6))))</f>
        <v/>
      </c>
      <c r="H115">
        <f>$B$12*G115*F115</f>
        <v/>
      </c>
      <c r="I115">
        <f>(1+Inputs_IAS19!$C$26)^-(A115-0.5)</f>
        <v/>
      </c>
      <c r="J115">
        <f>H115*I115</f>
        <v/>
      </c>
      <c r="K115">
        <f>H115*INDEX(Curve_IAS19!$D$2:$D$101,A115)</f>
        <v/>
      </c>
      <c r="M115">
        <f>IF(A115&lt;=$B$6,1-E115/E114,0)</f>
        <v/>
      </c>
      <c r="N115">
        <f>IF(A115&lt;=$B$6,Inputs_IAS19!$C$19*IF(C115&lt;Inputs_IAS19!$C$22,MAX(0,Inputs_IAS19!$C$20-Inputs_IAS19!$C$21*(C115-35)),0),0)</f>
        <v/>
      </c>
      <c r="O115">
        <f>O114*(1-M115-N115)</f>
        <v/>
      </c>
      <c r="P115">
        <f>O114*N115</f>
        <v/>
      </c>
      <c r="Q115">
        <f>$B$8*(1+Inputs_IAS19!$C$4)^A115</f>
        <v/>
      </c>
      <c r="R115">
        <f>Inputs_IAS19!$C$9*(1+Inputs_IAS19!$C$3)^(A115-1)</f>
        <v/>
      </c>
      <c r="S115">
        <f>MIN($B$7,Inputs_IAS19!$C$12)/Inputs_IAS19!$C$11*MAX(Q115-Inputs_IAS19!$C$10*R115,0)</f>
        <v/>
      </c>
      <c r="T115">
        <f>S115*(1+Inputs_IAS19!$C$5*0.5)*(1+Inputs_IAS19!$C$5)^($B$6-A115)</f>
        <v/>
      </c>
      <c r="U115">
        <f>IF(A115&lt;=$B$6,P115*(1-M115/2)*T115/E115,0)</f>
        <v/>
      </c>
    </row>
    <row r="116">
      <c r="A116" t="n">
        <v>98</v>
      </c>
      <c r="B116">
        <f>Inputs_IAS19!$C$2+A116</f>
        <v/>
      </c>
      <c r="C116">
        <f>$B$5+A116-1</f>
        <v/>
      </c>
      <c r="D116">
        <f>IF(C116&gt;=120,1,MIN(1,IF(A116&lt;=$B$6,IF($B$4="M",Inputs_IAS19!$C$13,Inputs_IAS19!$C$14),IF($B$4="M",Inputs_IAS19!$C$15,Inputs_IAS19!$C$16))*INDEX(ILT!$B$2:$C$122,MIN(C116,120)+1,IF($B$4="M",1,2))*(1-Inputs_IAS19!$C$17)^MAX(B116-Inputs_IAS19!$C$18,0)))</f>
        <v/>
      </c>
      <c r="E116">
        <f>E115*(1-D116)</f>
        <v/>
      </c>
      <c r="F116">
        <f>(E115+E116)/2</f>
        <v/>
      </c>
      <c r="G116">
        <f>IF(A116&lt;$B$6+1,0,IF(A116=$B$6+1,1,G115*(1+IF(B116=Inputs_IAS19!$C$7,Inputs_IAS19!$C$8,Inputs_IAS19!$C$6))))</f>
        <v/>
      </c>
      <c r="H116">
        <f>$B$12*G116*F116</f>
        <v/>
      </c>
      <c r="I116">
        <f>(1+Inputs_IAS19!$C$26)^-(A116-0.5)</f>
        <v/>
      </c>
      <c r="J116">
        <f>H116*I116</f>
        <v/>
      </c>
      <c r="K116">
        <f>H116*INDEX(Curve_IAS19!$D$2:$D$101,A116)</f>
        <v/>
      </c>
      <c r="M116">
        <f>IF(A116&lt;=$B$6,1-E116/E115,0)</f>
        <v/>
      </c>
      <c r="N116">
        <f>IF(A116&lt;=$B$6,Inputs_IAS19!$C$19*IF(C116&lt;Inputs_IAS19!$C$22,MAX(0,Inputs_IAS19!$C$20-Inputs_IAS19!$C$21*(C116-35)),0),0)</f>
        <v/>
      </c>
      <c r="O116">
        <f>O115*(1-M116-N116)</f>
        <v/>
      </c>
      <c r="P116">
        <f>O115*N116</f>
        <v/>
      </c>
      <c r="Q116">
        <f>$B$8*(1+Inputs_IAS19!$C$4)^A116</f>
        <v/>
      </c>
      <c r="R116">
        <f>Inputs_IAS19!$C$9*(1+Inputs_IAS19!$C$3)^(A116-1)</f>
        <v/>
      </c>
      <c r="S116">
        <f>MIN($B$7,Inputs_IAS19!$C$12)/Inputs_IAS19!$C$11*MAX(Q116-Inputs_IAS19!$C$10*R116,0)</f>
        <v/>
      </c>
      <c r="T116">
        <f>S116*(1+Inputs_IAS19!$C$5*0.5)*(1+Inputs_IAS19!$C$5)^($B$6-A116)</f>
        <v/>
      </c>
      <c r="U116">
        <f>IF(A116&lt;=$B$6,P116*(1-M116/2)*T116/E116,0)</f>
        <v/>
      </c>
    </row>
    <row r="117">
      <c r="A117" t="n">
        <v>99</v>
      </c>
      <c r="B117">
        <f>Inputs_IAS19!$C$2+A117</f>
        <v/>
      </c>
      <c r="C117">
        <f>$B$5+A117-1</f>
        <v/>
      </c>
      <c r="D117">
        <f>IF(C117&gt;=120,1,MIN(1,IF(A117&lt;=$B$6,IF($B$4="M",Inputs_IAS19!$C$13,Inputs_IAS19!$C$14),IF($B$4="M",Inputs_IAS19!$C$15,Inputs_IAS19!$C$16))*INDEX(ILT!$B$2:$C$122,MIN(C117,120)+1,IF($B$4="M",1,2))*(1-Inputs_IAS19!$C$17)^MAX(B117-Inputs_IAS19!$C$18,0)))</f>
        <v/>
      </c>
      <c r="E117">
        <f>E116*(1-D117)</f>
        <v/>
      </c>
      <c r="F117">
        <f>(E116+E117)/2</f>
        <v/>
      </c>
      <c r="G117">
        <f>IF(A117&lt;$B$6+1,0,IF(A117=$B$6+1,1,G116*(1+IF(B117=Inputs_IAS19!$C$7,Inputs_IAS19!$C$8,Inputs_IAS19!$C$6))))</f>
        <v/>
      </c>
      <c r="H117">
        <f>$B$12*G117*F117</f>
        <v/>
      </c>
      <c r="I117">
        <f>(1+Inputs_IAS19!$C$26)^-(A117-0.5)</f>
        <v/>
      </c>
      <c r="J117">
        <f>H117*I117</f>
        <v/>
      </c>
      <c r="K117">
        <f>H117*INDEX(Curve_IAS19!$D$2:$D$101,A117)</f>
        <v/>
      </c>
      <c r="M117">
        <f>IF(A117&lt;=$B$6,1-E117/E116,0)</f>
        <v/>
      </c>
      <c r="N117">
        <f>IF(A117&lt;=$B$6,Inputs_IAS19!$C$19*IF(C117&lt;Inputs_IAS19!$C$22,MAX(0,Inputs_IAS19!$C$20-Inputs_IAS19!$C$21*(C117-35)),0),0)</f>
        <v/>
      </c>
      <c r="O117">
        <f>O116*(1-M117-N117)</f>
        <v/>
      </c>
      <c r="P117">
        <f>O116*N117</f>
        <v/>
      </c>
      <c r="Q117">
        <f>$B$8*(1+Inputs_IAS19!$C$4)^A117</f>
        <v/>
      </c>
      <c r="R117">
        <f>Inputs_IAS19!$C$9*(1+Inputs_IAS19!$C$3)^(A117-1)</f>
        <v/>
      </c>
      <c r="S117">
        <f>MIN($B$7,Inputs_IAS19!$C$12)/Inputs_IAS19!$C$11*MAX(Q117-Inputs_IAS19!$C$10*R117,0)</f>
        <v/>
      </c>
      <c r="T117">
        <f>S117*(1+Inputs_IAS19!$C$5*0.5)*(1+Inputs_IAS19!$C$5)^($B$6-A117)</f>
        <v/>
      </c>
      <c r="U117">
        <f>IF(A117&lt;=$B$6,P117*(1-M117/2)*T117/E117,0)</f>
        <v/>
      </c>
    </row>
    <row r="118">
      <c r="A118" t="n">
        <v>100</v>
      </c>
      <c r="B118">
        <f>Inputs_IAS19!$C$2+A118</f>
        <v/>
      </c>
      <c r="C118">
        <f>$B$5+A118-1</f>
        <v/>
      </c>
      <c r="D118">
        <f>IF(C118&gt;=120,1,MIN(1,IF(A118&lt;=$B$6,IF($B$4="M",Inputs_IAS19!$C$13,Inputs_IAS19!$C$14),IF($B$4="M",Inputs_IAS19!$C$15,Inputs_IAS19!$C$16))*INDEX(ILT!$B$2:$C$122,MIN(C118,120)+1,IF($B$4="M",1,2))*(1-Inputs_IAS19!$C$17)^MAX(B118-Inputs_IAS19!$C$18,0)))</f>
        <v/>
      </c>
      <c r="E118">
        <f>E117*(1-D118)</f>
        <v/>
      </c>
      <c r="F118">
        <f>(E117+E118)/2</f>
        <v/>
      </c>
      <c r="G118">
        <f>IF(A118&lt;$B$6+1,0,IF(A118=$B$6+1,1,G117*(1+IF(B118=Inputs_IAS19!$C$7,Inputs_IAS19!$C$8,Inputs_IAS19!$C$6))))</f>
        <v/>
      </c>
      <c r="H118">
        <f>$B$12*G118*F118</f>
        <v/>
      </c>
      <c r="I118">
        <f>(1+Inputs_IAS19!$C$26)^-(A118-0.5)</f>
        <v/>
      </c>
      <c r="J118">
        <f>H118*I118</f>
        <v/>
      </c>
      <c r="K118">
        <f>H118*INDEX(Curve_IAS19!$D$2:$D$101,A118)</f>
        <v/>
      </c>
      <c r="M118">
        <f>IF(A118&lt;=$B$6,1-E118/E117,0)</f>
        <v/>
      </c>
      <c r="N118">
        <f>IF(A118&lt;=$B$6,Inputs_IAS19!$C$19*IF(C118&lt;Inputs_IAS19!$C$22,MAX(0,Inputs_IAS19!$C$20-Inputs_IAS19!$C$21*(C118-35)),0),0)</f>
        <v/>
      </c>
      <c r="O118">
        <f>O117*(1-M118-N118)</f>
        <v/>
      </c>
      <c r="P118">
        <f>O117*N118</f>
        <v/>
      </c>
      <c r="Q118">
        <f>$B$8*(1+Inputs_IAS19!$C$4)^A118</f>
        <v/>
      </c>
      <c r="R118">
        <f>Inputs_IAS19!$C$9*(1+Inputs_IAS19!$C$3)^(A118-1)</f>
        <v/>
      </c>
      <c r="S118">
        <f>MIN($B$7,Inputs_IAS19!$C$12)/Inputs_IAS19!$C$11*MAX(Q118-Inputs_IAS19!$C$10*R118,0)</f>
        <v/>
      </c>
      <c r="T118">
        <f>S118*(1+Inputs_IAS19!$C$5*0.5)*(1+Inputs_IAS19!$C$5)^($B$6-A118)</f>
        <v/>
      </c>
      <c r="U118">
        <f>IF(A118&lt;=$B$6,P118*(1-M118/2)*T118/E118,0)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FS_Pensioner: P x increases x average survival, paid mid-year</t>
        </is>
      </c>
    </row>
    <row r="3">
      <c r="A3" t="inlineStr">
        <is>
          <t>member_id</t>
        </is>
      </c>
      <c r="B3" s="2" t="inlineStr">
        <is>
          <t>M0017</t>
        </is>
      </c>
      <c r="D3" t="inlineStr">
        <is>
          <t>Annuity cost (AAA + insurer spread)</t>
        </is>
      </c>
      <c r="E3">
        <f>SUM(J19:J118)</f>
        <v/>
      </c>
    </row>
    <row r="4">
      <c r="A4" t="inlineStr">
        <is>
          <t>sex</t>
        </is>
      </c>
      <c r="B4" s="2" t="inlineStr">
        <is>
          <t>M</t>
        </is>
      </c>
    </row>
    <row r="5">
      <c r="A5" t="inlineStr">
        <is>
          <t>age x (nearest, at valuation)</t>
        </is>
      </c>
      <c r="B5" s="2" t="n">
        <v>72</v>
      </c>
    </row>
    <row r="6">
      <c r="A6" t="inlineStr">
        <is>
          <t>T (years to 65)</t>
        </is>
      </c>
      <c r="B6" s="2" t="n">
        <v>0</v>
      </c>
    </row>
    <row r="7">
      <c r="A7" t="inlineStr">
        <is>
          <t>pension in payment (2025)</t>
        </is>
      </c>
      <c r="B7" s="2" t="n">
        <v>20331.03</v>
      </c>
    </row>
    <row r="17">
      <c r="A17" s="3" t="inlineStr">
        <is>
          <t>t</t>
        </is>
      </c>
      <c r="B17" s="3" t="inlineStr">
        <is>
          <t>year</t>
        </is>
      </c>
      <c r="C17" s="3" t="inlineStr">
        <is>
          <t>age</t>
        </is>
      </c>
      <c r="D17" s="3" t="inlineStr">
        <is>
          <t>q</t>
        </is>
      </c>
      <c r="E17" s="3" t="inlineStr">
        <is>
          <t>survival</t>
        </is>
      </c>
      <c r="F17" s="3" t="inlineStr">
        <is>
          <t>avg survival</t>
        </is>
      </c>
      <c r="G17" s="3" t="inlineStr">
        <is>
          <t>pension index</t>
        </is>
      </c>
      <c r="H17" s="3" t="inlineStr">
        <is>
          <t>cash flow</t>
        </is>
      </c>
      <c r="I17" s="3" t="inlineStr">
        <is>
          <t>DF 1</t>
        </is>
      </c>
      <c r="J17" s="3" t="inlineStr">
        <is>
          <t>PV 1</t>
        </is>
      </c>
      <c r="K17" s="3" t="inlineStr">
        <is>
          <t>PV 2</t>
        </is>
      </c>
    </row>
    <row r="18">
      <c r="A18" t="n">
        <v>0</v>
      </c>
      <c r="E18" t="n">
        <v>1</v>
      </c>
      <c r="G18" t="n">
        <v>1</v>
      </c>
    </row>
    <row r="19">
      <c r="A19" t="n">
        <v>1</v>
      </c>
      <c r="B19">
        <f>Inputs_Annuity!$C$2+A19</f>
        <v/>
      </c>
      <c r="C19">
        <f>$B$5+A19-1</f>
        <v/>
      </c>
      <c r="D19">
        <f>IF(C19&gt;=120,1,MIN(1,IF(A19&lt;=$B$6,IF($B$4="M",Inputs_Annuity!$C$13,Inputs_Annuity!$C$14),IF($B$4="M",Inputs_Annuity!$C$15,Inputs_Annuity!$C$16))*INDEX(ILT!$B$2:$C$122,MIN(C19,120)+1,IF($B$4="M",1,2))*(1-Inputs_Annuity!$C$17)^MAX(B19-Inputs_Annuity!$C$18,0)))</f>
        <v/>
      </c>
      <c r="E19">
        <f>E18*(1-D19)</f>
        <v/>
      </c>
      <c r="F19">
        <f>(E18+E19)/2</f>
        <v/>
      </c>
      <c r="G19">
        <f>G18*(1+IF(B19=Inputs_Annuity!$C$7,Inputs_Annuity!$C$8,Inputs_Annuity!$C$6))</f>
        <v/>
      </c>
      <c r="H19">
        <f>$B$7*G19*F19</f>
        <v/>
      </c>
      <c r="I19">
        <f>INDEX(Curve_Annuity!$D$2:$D$101,A19)</f>
        <v/>
      </c>
      <c r="J19">
        <f>H19*I19</f>
        <v/>
      </c>
    </row>
    <row r="20">
      <c r="A20" t="n">
        <v>2</v>
      </c>
      <c r="B20">
        <f>Inputs_Annuity!$C$2+A20</f>
        <v/>
      </c>
      <c r="C20">
        <f>$B$5+A20-1</f>
        <v/>
      </c>
      <c r="D20">
        <f>IF(C20&gt;=120,1,MIN(1,IF(A20&lt;=$B$6,IF($B$4="M",Inputs_Annuity!$C$13,Inputs_Annuity!$C$14),IF($B$4="M",Inputs_Annuity!$C$15,Inputs_Annuity!$C$16))*INDEX(ILT!$B$2:$C$122,MIN(C20,120)+1,IF($B$4="M",1,2))*(1-Inputs_Annuity!$C$17)^MAX(B20-Inputs_Annuity!$C$18,0)))</f>
        <v/>
      </c>
      <c r="E20">
        <f>E19*(1-D20)</f>
        <v/>
      </c>
      <c r="F20">
        <f>(E19+E20)/2</f>
        <v/>
      </c>
      <c r="G20">
        <f>G19*(1+IF(B20=Inputs_Annuity!$C$7,Inputs_Annuity!$C$8,Inputs_Annuity!$C$6))</f>
        <v/>
      </c>
      <c r="H20">
        <f>$B$7*G20*F20</f>
        <v/>
      </c>
      <c r="I20">
        <f>INDEX(Curve_Annuity!$D$2:$D$101,A20)</f>
        <v/>
      </c>
      <c r="J20">
        <f>H20*I20</f>
        <v/>
      </c>
    </row>
    <row r="21">
      <c r="A21" t="n">
        <v>3</v>
      </c>
      <c r="B21">
        <f>Inputs_Annuity!$C$2+A21</f>
        <v/>
      </c>
      <c r="C21">
        <f>$B$5+A21-1</f>
        <v/>
      </c>
      <c r="D21">
        <f>IF(C21&gt;=120,1,MIN(1,IF(A21&lt;=$B$6,IF($B$4="M",Inputs_Annuity!$C$13,Inputs_Annuity!$C$14),IF($B$4="M",Inputs_Annuity!$C$15,Inputs_Annuity!$C$16))*INDEX(ILT!$B$2:$C$122,MIN(C21,120)+1,IF($B$4="M",1,2))*(1-Inputs_Annuity!$C$17)^MAX(B21-Inputs_Annuity!$C$18,0)))</f>
        <v/>
      </c>
      <c r="E21">
        <f>E20*(1-D21)</f>
        <v/>
      </c>
      <c r="F21">
        <f>(E20+E21)/2</f>
        <v/>
      </c>
      <c r="G21">
        <f>G20*(1+IF(B21=Inputs_Annuity!$C$7,Inputs_Annuity!$C$8,Inputs_Annuity!$C$6))</f>
        <v/>
      </c>
      <c r="H21">
        <f>$B$7*G21*F21</f>
        <v/>
      </c>
      <c r="I21">
        <f>INDEX(Curve_Annuity!$D$2:$D$101,A21)</f>
        <v/>
      </c>
      <c r="J21">
        <f>H21*I21</f>
        <v/>
      </c>
    </row>
    <row r="22">
      <c r="A22" t="n">
        <v>4</v>
      </c>
      <c r="B22">
        <f>Inputs_Annuity!$C$2+A22</f>
        <v/>
      </c>
      <c r="C22">
        <f>$B$5+A22-1</f>
        <v/>
      </c>
      <c r="D22">
        <f>IF(C22&gt;=120,1,MIN(1,IF(A22&lt;=$B$6,IF($B$4="M",Inputs_Annuity!$C$13,Inputs_Annuity!$C$14),IF($B$4="M",Inputs_Annuity!$C$15,Inputs_Annuity!$C$16))*INDEX(ILT!$B$2:$C$122,MIN(C22,120)+1,IF($B$4="M",1,2))*(1-Inputs_Annuity!$C$17)^MAX(B22-Inputs_Annuity!$C$18,0)))</f>
        <v/>
      </c>
      <c r="E22">
        <f>E21*(1-D22)</f>
        <v/>
      </c>
      <c r="F22">
        <f>(E21+E22)/2</f>
        <v/>
      </c>
      <c r="G22">
        <f>G21*(1+IF(B22=Inputs_Annuity!$C$7,Inputs_Annuity!$C$8,Inputs_Annuity!$C$6))</f>
        <v/>
      </c>
      <c r="H22">
        <f>$B$7*G22*F22</f>
        <v/>
      </c>
      <c r="I22">
        <f>INDEX(Curve_Annuity!$D$2:$D$101,A22)</f>
        <v/>
      </c>
      <c r="J22">
        <f>H22*I22</f>
        <v/>
      </c>
    </row>
    <row r="23">
      <c r="A23" t="n">
        <v>5</v>
      </c>
      <c r="B23">
        <f>Inputs_Annuity!$C$2+A23</f>
        <v/>
      </c>
      <c r="C23">
        <f>$B$5+A23-1</f>
        <v/>
      </c>
      <c r="D23">
        <f>IF(C23&gt;=120,1,MIN(1,IF(A23&lt;=$B$6,IF($B$4="M",Inputs_Annuity!$C$13,Inputs_Annuity!$C$14),IF($B$4="M",Inputs_Annuity!$C$15,Inputs_Annuity!$C$16))*INDEX(ILT!$B$2:$C$122,MIN(C23,120)+1,IF($B$4="M",1,2))*(1-Inputs_Annuity!$C$17)^MAX(B23-Inputs_Annuity!$C$18,0)))</f>
        <v/>
      </c>
      <c r="E23">
        <f>E22*(1-D23)</f>
        <v/>
      </c>
      <c r="F23">
        <f>(E22+E23)/2</f>
        <v/>
      </c>
      <c r="G23">
        <f>G22*(1+IF(B23=Inputs_Annuity!$C$7,Inputs_Annuity!$C$8,Inputs_Annuity!$C$6))</f>
        <v/>
      </c>
      <c r="H23">
        <f>$B$7*G23*F23</f>
        <v/>
      </c>
      <c r="I23">
        <f>INDEX(Curve_Annuity!$D$2:$D$101,A23)</f>
        <v/>
      </c>
      <c r="J23">
        <f>H23*I23</f>
        <v/>
      </c>
    </row>
    <row r="24">
      <c r="A24" t="n">
        <v>6</v>
      </c>
      <c r="B24">
        <f>Inputs_Annuity!$C$2+A24</f>
        <v/>
      </c>
      <c r="C24">
        <f>$B$5+A24-1</f>
        <v/>
      </c>
      <c r="D24">
        <f>IF(C24&gt;=120,1,MIN(1,IF(A24&lt;=$B$6,IF($B$4="M",Inputs_Annuity!$C$13,Inputs_Annuity!$C$14),IF($B$4="M",Inputs_Annuity!$C$15,Inputs_Annuity!$C$16))*INDEX(ILT!$B$2:$C$122,MIN(C24,120)+1,IF($B$4="M",1,2))*(1-Inputs_Annuity!$C$17)^MAX(B24-Inputs_Annuity!$C$18,0)))</f>
        <v/>
      </c>
      <c r="E24">
        <f>E23*(1-D24)</f>
        <v/>
      </c>
      <c r="F24">
        <f>(E23+E24)/2</f>
        <v/>
      </c>
      <c r="G24">
        <f>G23*(1+IF(B24=Inputs_Annuity!$C$7,Inputs_Annuity!$C$8,Inputs_Annuity!$C$6))</f>
        <v/>
      </c>
      <c r="H24">
        <f>$B$7*G24*F24</f>
        <v/>
      </c>
      <c r="I24">
        <f>INDEX(Curve_Annuity!$D$2:$D$101,A24)</f>
        <v/>
      </c>
      <c r="J24">
        <f>H24*I24</f>
        <v/>
      </c>
    </row>
    <row r="25">
      <c r="A25" t="n">
        <v>7</v>
      </c>
      <c r="B25">
        <f>Inputs_Annuity!$C$2+A25</f>
        <v/>
      </c>
      <c r="C25">
        <f>$B$5+A25-1</f>
        <v/>
      </c>
      <c r="D25">
        <f>IF(C25&gt;=120,1,MIN(1,IF(A25&lt;=$B$6,IF($B$4="M",Inputs_Annuity!$C$13,Inputs_Annuity!$C$14),IF($B$4="M",Inputs_Annuity!$C$15,Inputs_Annuity!$C$16))*INDEX(ILT!$B$2:$C$122,MIN(C25,120)+1,IF($B$4="M",1,2))*(1-Inputs_Annuity!$C$17)^MAX(B25-Inputs_Annuity!$C$18,0)))</f>
        <v/>
      </c>
      <c r="E25">
        <f>E24*(1-D25)</f>
        <v/>
      </c>
      <c r="F25">
        <f>(E24+E25)/2</f>
        <v/>
      </c>
      <c r="G25">
        <f>G24*(1+IF(B25=Inputs_Annuity!$C$7,Inputs_Annuity!$C$8,Inputs_Annuity!$C$6))</f>
        <v/>
      </c>
      <c r="H25">
        <f>$B$7*G25*F25</f>
        <v/>
      </c>
      <c r="I25">
        <f>INDEX(Curve_Annuity!$D$2:$D$101,A25)</f>
        <v/>
      </c>
      <c r="J25">
        <f>H25*I25</f>
        <v/>
      </c>
    </row>
    <row r="26">
      <c r="A26" t="n">
        <v>8</v>
      </c>
      <c r="B26">
        <f>Inputs_Annuity!$C$2+A26</f>
        <v/>
      </c>
      <c r="C26">
        <f>$B$5+A26-1</f>
        <v/>
      </c>
      <c r="D26">
        <f>IF(C26&gt;=120,1,MIN(1,IF(A26&lt;=$B$6,IF($B$4="M",Inputs_Annuity!$C$13,Inputs_Annuity!$C$14),IF($B$4="M",Inputs_Annuity!$C$15,Inputs_Annuity!$C$16))*INDEX(ILT!$B$2:$C$122,MIN(C26,120)+1,IF($B$4="M",1,2))*(1-Inputs_Annuity!$C$17)^MAX(B26-Inputs_Annuity!$C$18,0)))</f>
        <v/>
      </c>
      <c r="E26">
        <f>E25*(1-D26)</f>
        <v/>
      </c>
      <c r="F26">
        <f>(E25+E26)/2</f>
        <v/>
      </c>
      <c r="G26">
        <f>G25*(1+IF(B26=Inputs_Annuity!$C$7,Inputs_Annuity!$C$8,Inputs_Annuity!$C$6))</f>
        <v/>
      </c>
      <c r="H26">
        <f>$B$7*G26*F26</f>
        <v/>
      </c>
      <c r="I26">
        <f>INDEX(Curve_Annuity!$D$2:$D$101,A26)</f>
        <v/>
      </c>
      <c r="J26">
        <f>H26*I26</f>
        <v/>
      </c>
    </row>
    <row r="27">
      <c r="A27" t="n">
        <v>9</v>
      </c>
      <c r="B27">
        <f>Inputs_Annuity!$C$2+A27</f>
        <v/>
      </c>
      <c r="C27">
        <f>$B$5+A27-1</f>
        <v/>
      </c>
      <c r="D27">
        <f>IF(C27&gt;=120,1,MIN(1,IF(A27&lt;=$B$6,IF($B$4="M",Inputs_Annuity!$C$13,Inputs_Annuity!$C$14),IF($B$4="M",Inputs_Annuity!$C$15,Inputs_Annuity!$C$16))*INDEX(ILT!$B$2:$C$122,MIN(C27,120)+1,IF($B$4="M",1,2))*(1-Inputs_Annuity!$C$17)^MAX(B27-Inputs_Annuity!$C$18,0)))</f>
        <v/>
      </c>
      <c r="E27">
        <f>E26*(1-D27)</f>
        <v/>
      </c>
      <c r="F27">
        <f>(E26+E27)/2</f>
        <v/>
      </c>
      <c r="G27">
        <f>G26*(1+IF(B27=Inputs_Annuity!$C$7,Inputs_Annuity!$C$8,Inputs_Annuity!$C$6))</f>
        <v/>
      </c>
      <c r="H27">
        <f>$B$7*G27*F27</f>
        <v/>
      </c>
      <c r="I27">
        <f>INDEX(Curve_Annuity!$D$2:$D$101,A27)</f>
        <v/>
      </c>
      <c r="J27">
        <f>H27*I27</f>
        <v/>
      </c>
    </row>
    <row r="28">
      <c r="A28" t="n">
        <v>10</v>
      </c>
      <c r="B28">
        <f>Inputs_Annuity!$C$2+A28</f>
        <v/>
      </c>
      <c r="C28">
        <f>$B$5+A28-1</f>
        <v/>
      </c>
      <c r="D28">
        <f>IF(C28&gt;=120,1,MIN(1,IF(A28&lt;=$B$6,IF($B$4="M",Inputs_Annuity!$C$13,Inputs_Annuity!$C$14),IF($B$4="M",Inputs_Annuity!$C$15,Inputs_Annuity!$C$16))*INDEX(ILT!$B$2:$C$122,MIN(C28,120)+1,IF($B$4="M",1,2))*(1-Inputs_Annuity!$C$17)^MAX(B28-Inputs_Annuity!$C$18,0)))</f>
        <v/>
      </c>
      <c r="E28">
        <f>E27*(1-D28)</f>
        <v/>
      </c>
      <c r="F28">
        <f>(E27+E28)/2</f>
        <v/>
      </c>
      <c r="G28">
        <f>G27*(1+IF(B28=Inputs_Annuity!$C$7,Inputs_Annuity!$C$8,Inputs_Annuity!$C$6))</f>
        <v/>
      </c>
      <c r="H28">
        <f>$B$7*G28*F28</f>
        <v/>
      </c>
      <c r="I28">
        <f>INDEX(Curve_Annuity!$D$2:$D$101,A28)</f>
        <v/>
      </c>
      <c r="J28">
        <f>H28*I28</f>
        <v/>
      </c>
    </row>
    <row r="29">
      <c r="A29" t="n">
        <v>11</v>
      </c>
      <c r="B29">
        <f>Inputs_Annuity!$C$2+A29</f>
        <v/>
      </c>
      <c r="C29">
        <f>$B$5+A29-1</f>
        <v/>
      </c>
      <c r="D29">
        <f>IF(C29&gt;=120,1,MIN(1,IF(A29&lt;=$B$6,IF($B$4="M",Inputs_Annuity!$C$13,Inputs_Annuity!$C$14),IF($B$4="M",Inputs_Annuity!$C$15,Inputs_Annuity!$C$16))*INDEX(ILT!$B$2:$C$122,MIN(C29,120)+1,IF($B$4="M",1,2))*(1-Inputs_Annuity!$C$17)^MAX(B29-Inputs_Annuity!$C$18,0)))</f>
        <v/>
      </c>
      <c r="E29">
        <f>E28*(1-D29)</f>
        <v/>
      </c>
      <c r="F29">
        <f>(E28+E29)/2</f>
        <v/>
      </c>
      <c r="G29">
        <f>G28*(1+IF(B29=Inputs_Annuity!$C$7,Inputs_Annuity!$C$8,Inputs_Annuity!$C$6))</f>
        <v/>
      </c>
      <c r="H29">
        <f>$B$7*G29*F29</f>
        <v/>
      </c>
      <c r="I29">
        <f>INDEX(Curve_Annuity!$D$2:$D$101,A29)</f>
        <v/>
      </c>
      <c r="J29">
        <f>H29*I29</f>
        <v/>
      </c>
    </row>
    <row r="30">
      <c r="A30" t="n">
        <v>12</v>
      </c>
      <c r="B30">
        <f>Inputs_Annuity!$C$2+A30</f>
        <v/>
      </c>
      <c r="C30">
        <f>$B$5+A30-1</f>
        <v/>
      </c>
      <c r="D30">
        <f>IF(C30&gt;=120,1,MIN(1,IF(A30&lt;=$B$6,IF($B$4="M",Inputs_Annuity!$C$13,Inputs_Annuity!$C$14),IF($B$4="M",Inputs_Annuity!$C$15,Inputs_Annuity!$C$16))*INDEX(ILT!$B$2:$C$122,MIN(C30,120)+1,IF($B$4="M",1,2))*(1-Inputs_Annuity!$C$17)^MAX(B30-Inputs_Annuity!$C$18,0)))</f>
        <v/>
      </c>
      <c r="E30">
        <f>E29*(1-D30)</f>
        <v/>
      </c>
      <c r="F30">
        <f>(E29+E30)/2</f>
        <v/>
      </c>
      <c r="G30">
        <f>G29*(1+IF(B30=Inputs_Annuity!$C$7,Inputs_Annuity!$C$8,Inputs_Annuity!$C$6))</f>
        <v/>
      </c>
      <c r="H30">
        <f>$B$7*G30*F30</f>
        <v/>
      </c>
      <c r="I30">
        <f>INDEX(Curve_Annuity!$D$2:$D$101,A30)</f>
        <v/>
      </c>
      <c r="J30">
        <f>H30*I30</f>
        <v/>
      </c>
    </row>
    <row r="31">
      <c r="A31" t="n">
        <v>13</v>
      </c>
      <c r="B31">
        <f>Inputs_Annuity!$C$2+A31</f>
        <v/>
      </c>
      <c r="C31">
        <f>$B$5+A31-1</f>
        <v/>
      </c>
      <c r="D31">
        <f>IF(C31&gt;=120,1,MIN(1,IF(A31&lt;=$B$6,IF($B$4="M",Inputs_Annuity!$C$13,Inputs_Annuity!$C$14),IF($B$4="M",Inputs_Annuity!$C$15,Inputs_Annuity!$C$16))*INDEX(ILT!$B$2:$C$122,MIN(C31,120)+1,IF($B$4="M",1,2))*(1-Inputs_Annuity!$C$17)^MAX(B31-Inputs_Annuity!$C$18,0)))</f>
        <v/>
      </c>
      <c r="E31">
        <f>E30*(1-D31)</f>
        <v/>
      </c>
      <c r="F31">
        <f>(E30+E31)/2</f>
        <v/>
      </c>
      <c r="G31">
        <f>G30*(1+IF(B31=Inputs_Annuity!$C$7,Inputs_Annuity!$C$8,Inputs_Annuity!$C$6))</f>
        <v/>
      </c>
      <c r="H31">
        <f>$B$7*G31*F31</f>
        <v/>
      </c>
      <c r="I31">
        <f>INDEX(Curve_Annuity!$D$2:$D$101,A31)</f>
        <v/>
      </c>
      <c r="J31">
        <f>H31*I31</f>
        <v/>
      </c>
    </row>
    <row r="32">
      <c r="A32" t="n">
        <v>14</v>
      </c>
      <c r="B32">
        <f>Inputs_Annuity!$C$2+A32</f>
        <v/>
      </c>
      <c r="C32">
        <f>$B$5+A32-1</f>
        <v/>
      </c>
      <c r="D32">
        <f>IF(C32&gt;=120,1,MIN(1,IF(A32&lt;=$B$6,IF($B$4="M",Inputs_Annuity!$C$13,Inputs_Annuity!$C$14),IF($B$4="M",Inputs_Annuity!$C$15,Inputs_Annuity!$C$16))*INDEX(ILT!$B$2:$C$122,MIN(C32,120)+1,IF($B$4="M",1,2))*(1-Inputs_Annuity!$C$17)^MAX(B32-Inputs_Annuity!$C$18,0)))</f>
        <v/>
      </c>
      <c r="E32">
        <f>E31*(1-D32)</f>
        <v/>
      </c>
      <c r="F32">
        <f>(E31+E32)/2</f>
        <v/>
      </c>
      <c r="G32">
        <f>G31*(1+IF(B32=Inputs_Annuity!$C$7,Inputs_Annuity!$C$8,Inputs_Annuity!$C$6))</f>
        <v/>
      </c>
      <c r="H32">
        <f>$B$7*G32*F32</f>
        <v/>
      </c>
      <c r="I32">
        <f>INDEX(Curve_Annuity!$D$2:$D$101,A32)</f>
        <v/>
      </c>
      <c r="J32">
        <f>H32*I32</f>
        <v/>
      </c>
    </row>
    <row r="33">
      <c r="A33" t="n">
        <v>15</v>
      </c>
      <c r="B33">
        <f>Inputs_Annuity!$C$2+A33</f>
        <v/>
      </c>
      <c r="C33">
        <f>$B$5+A33-1</f>
        <v/>
      </c>
      <c r="D33">
        <f>IF(C33&gt;=120,1,MIN(1,IF(A33&lt;=$B$6,IF($B$4="M",Inputs_Annuity!$C$13,Inputs_Annuity!$C$14),IF($B$4="M",Inputs_Annuity!$C$15,Inputs_Annuity!$C$16))*INDEX(ILT!$B$2:$C$122,MIN(C33,120)+1,IF($B$4="M",1,2))*(1-Inputs_Annuity!$C$17)^MAX(B33-Inputs_Annuity!$C$18,0)))</f>
        <v/>
      </c>
      <c r="E33">
        <f>E32*(1-D33)</f>
        <v/>
      </c>
      <c r="F33">
        <f>(E32+E33)/2</f>
        <v/>
      </c>
      <c r="G33">
        <f>G32*(1+IF(B33=Inputs_Annuity!$C$7,Inputs_Annuity!$C$8,Inputs_Annuity!$C$6))</f>
        <v/>
      </c>
      <c r="H33">
        <f>$B$7*G33*F33</f>
        <v/>
      </c>
      <c r="I33">
        <f>INDEX(Curve_Annuity!$D$2:$D$101,A33)</f>
        <v/>
      </c>
      <c r="J33">
        <f>H33*I33</f>
        <v/>
      </c>
    </row>
    <row r="34">
      <c r="A34" t="n">
        <v>16</v>
      </c>
      <c r="B34">
        <f>Inputs_Annuity!$C$2+A34</f>
        <v/>
      </c>
      <c r="C34">
        <f>$B$5+A34-1</f>
        <v/>
      </c>
      <c r="D34">
        <f>IF(C34&gt;=120,1,MIN(1,IF(A34&lt;=$B$6,IF($B$4="M",Inputs_Annuity!$C$13,Inputs_Annuity!$C$14),IF($B$4="M",Inputs_Annuity!$C$15,Inputs_Annuity!$C$16))*INDEX(ILT!$B$2:$C$122,MIN(C34,120)+1,IF($B$4="M",1,2))*(1-Inputs_Annuity!$C$17)^MAX(B34-Inputs_Annuity!$C$18,0)))</f>
        <v/>
      </c>
      <c r="E34">
        <f>E33*(1-D34)</f>
        <v/>
      </c>
      <c r="F34">
        <f>(E33+E34)/2</f>
        <v/>
      </c>
      <c r="G34">
        <f>G33*(1+IF(B34=Inputs_Annuity!$C$7,Inputs_Annuity!$C$8,Inputs_Annuity!$C$6))</f>
        <v/>
      </c>
      <c r="H34">
        <f>$B$7*G34*F34</f>
        <v/>
      </c>
      <c r="I34">
        <f>INDEX(Curve_Annuity!$D$2:$D$101,A34)</f>
        <v/>
      </c>
      <c r="J34">
        <f>H34*I34</f>
        <v/>
      </c>
    </row>
    <row r="35">
      <c r="A35" t="n">
        <v>17</v>
      </c>
      <c r="B35">
        <f>Inputs_Annuity!$C$2+A35</f>
        <v/>
      </c>
      <c r="C35">
        <f>$B$5+A35-1</f>
        <v/>
      </c>
      <c r="D35">
        <f>IF(C35&gt;=120,1,MIN(1,IF(A35&lt;=$B$6,IF($B$4="M",Inputs_Annuity!$C$13,Inputs_Annuity!$C$14),IF($B$4="M",Inputs_Annuity!$C$15,Inputs_Annuity!$C$16))*INDEX(ILT!$B$2:$C$122,MIN(C35,120)+1,IF($B$4="M",1,2))*(1-Inputs_Annuity!$C$17)^MAX(B35-Inputs_Annuity!$C$18,0)))</f>
        <v/>
      </c>
      <c r="E35">
        <f>E34*(1-D35)</f>
        <v/>
      </c>
      <c r="F35">
        <f>(E34+E35)/2</f>
        <v/>
      </c>
      <c r="G35">
        <f>G34*(1+IF(B35=Inputs_Annuity!$C$7,Inputs_Annuity!$C$8,Inputs_Annuity!$C$6))</f>
        <v/>
      </c>
      <c r="H35">
        <f>$B$7*G35*F35</f>
        <v/>
      </c>
      <c r="I35">
        <f>INDEX(Curve_Annuity!$D$2:$D$101,A35)</f>
        <v/>
      </c>
      <c r="J35">
        <f>H35*I35</f>
        <v/>
      </c>
    </row>
    <row r="36">
      <c r="A36" t="n">
        <v>18</v>
      </c>
      <c r="B36">
        <f>Inputs_Annuity!$C$2+A36</f>
        <v/>
      </c>
      <c r="C36">
        <f>$B$5+A36-1</f>
        <v/>
      </c>
      <c r="D36">
        <f>IF(C36&gt;=120,1,MIN(1,IF(A36&lt;=$B$6,IF($B$4="M",Inputs_Annuity!$C$13,Inputs_Annuity!$C$14),IF($B$4="M",Inputs_Annuity!$C$15,Inputs_Annuity!$C$16))*INDEX(ILT!$B$2:$C$122,MIN(C36,120)+1,IF($B$4="M",1,2))*(1-Inputs_Annuity!$C$17)^MAX(B36-Inputs_Annuity!$C$18,0)))</f>
        <v/>
      </c>
      <c r="E36">
        <f>E35*(1-D36)</f>
        <v/>
      </c>
      <c r="F36">
        <f>(E35+E36)/2</f>
        <v/>
      </c>
      <c r="G36">
        <f>G35*(1+IF(B36=Inputs_Annuity!$C$7,Inputs_Annuity!$C$8,Inputs_Annuity!$C$6))</f>
        <v/>
      </c>
      <c r="H36">
        <f>$B$7*G36*F36</f>
        <v/>
      </c>
      <c r="I36">
        <f>INDEX(Curve_Annuity!$D$2:$D$101,A36)</f>
        <v/>
      </c>
      <c r="J36">
        <f>H36*I36</f>
        <v/>
      </c>
    </row>
    <row r="37">
      <c r="A37" t="n">
        <v>19</v>
      </c>
      <c r="B37">
        <f>Inputs_Annuity!$C$2+A37</f>
        <v/>
      </c>
      <c r="C37">
        <f>$B$5+A37-1</f>
        <v/>
      </c>
      <c r="D37">
        <f>IF(C37&gt;=120,1,MIN(1,IF(A37&lt;=$B$6,IF($B$4="M",Inputs_Annuity!$C$13,Inputs_Annuity!$C$14),IF($B$4="M",Inputs_Annuity!$C$15,Inputs_Annuity!$C$16))*INDEX(ILT!$B$2:$C$122,MIN(C37,120)+1,IF($B$4="M",1,2))*(1-Inputs_Annuity!$C$17)^MAX(B37-Inputs_Annuity!$C$18,0)))</f>
        <v/>
      </c>
      <c r="E37">
        <f>E36*(1-D37)</f>
        <v/>
      </c>
      <c r="F37">
        <f>(E36+E37)/2</f>
        <v/>
      </c>
      <c r="G37">
        <f>G36*(1+IF(B37=Inputs_Annuity!$C$7,Inputs_Annuity!$C$8,Inputs_Annuity!$C$6))</f>
        <v/>
      </c>
      <c r="H37">
        <f>$B$7*G37*F37</f>
        <v/>
      </c>
      <c r="I37">
        <f>INDEX(Curve_Annuity!$D$2:$D$101,A37)</f>
        <v/>
      </c>
      <c r="J37">
        <f>H37*I37</f>
        <v/>
      </c>
    </row>
    <row r="38">
      <c r="A38" t="n">
        <v>20</v>
      </c>
      <c r="B38">
        <f>Inputs_Annuity!$C$2+A38</f>
        <v/>
      </c>
      <c r="C38">
        <f>$B$5+A38-1</f>
        <v/>
      </c>
      <c r="D38">
        <f>IF(C38&gt;=120,1,MIN(1,IF(A38&lt;=$B$6,IF($B$4="M",Inputs_Annuity!$C$13,Inputs_Annuity!$C$14),IF($B$4="M",Inputs_Annuity!$C$15,Inputs_Annuity!$C$16))*INDEX(ILT!$B$2:$C$122,MIN(C38,120)+1,IF($B$4="M",1,2))*(1-Inputs_Annuity!$C$17)^MAX(B38-Inputs_Annuity!$C$18,0)))</f>
        <v/>
      </c>
      <c r="E38">
        <f>E37*(1-D38)</f>
        <v/>
      </c>
      <c r="F38">
        <f>(E37+E38)/2</f>
        <v/>
      </c>
      <c r="G38">
        <f>G37*(1+IF(B38=Inputs_Annuity!$C$7,Inputs_Annuity!$C$8,Inputs_Annuity!$C$6))</f>
        <v/>
      </c>
      <c r="H38">
        <f>$B$7*G38*F38</f>
        <v/>
      </c>
      <c r="I38">
        <f>INDEX(Curve_Annuity!$D$2:$D$101,A38)</f>
        <v/>
      </c>
      <c r="J38">
        <f>H38*I38</f>
        <v/>
      </c>
    </row>
    <row r="39">
      <c r="A39" t="n">
        <v>21</v>
      </c>
      <c r="B39">
        <f>Inputs_Annuity!$C$2+A39</f>
        <v/>
      </c>
      <c r="C39">
        <f>$B$5+A39-1</f>
        <v/>
      </c>
      <c r="D39">
        <f>IF(C39&gt;=120,1,MIN(1,IF(A39&lt;=$B$6,IF($B$4="M",Inputs_Annuity!$C$13,Inputs_Annuity!$C$14),IF($B$4="M",Inputs_Annuity!$C$15,Inputs_Annuity!$C$16))*INDEX(ILT!$B$2:$C$122,MIN(C39,120)+1,IF($B$4="M",1,2))*(1-Inputs_Annuity!$C$17)^MAX(B39-Inputs_Annuity!$C$18,0)))</f>
        <v/>
      </c>
      <c r="E39">
        <f>E38*(1-D39)</f>
        <v/>
      </c>
      <c r="F39">
        <f>(E38+E39)/2</f>
        <v/>
      </c>
      <c r="G39">
        <f>G38*(1+IF(B39=Inputs_Annuity!$C$7,Inputs_Annuity!$C$8,Inputs_Annuity!$C$6))</f>
        <v/>
      </c>
      <c r="H39">
        <f>$B$7*G39*F39</f>
        <v/>
      </c>
      <c r="I39">
        <f>INDEX(Curve_Annuity!$D$2:$D$101,A39)</f>
        <v/>
      </c>
      <c r="J39">
        <f>H39*I39</f>
        <v/>
      </c>
    </row>
    <row r="40">
      <c r="A40" t="n">
        <v>22</v>
      </c>
      <c r="B40">
        <f>Inputs_Annuity!$C$2+A40</f>
        <v/>
      </c>
      <c r="C40">
        <f>$B$5+A40-1</f>
        <v/>
      </c>
      <c r="D40">
        <f>IF(C40&gt;=120,1,MIN(1,IF(A40&lt;=$B$6,IF($B$4="M",Inputs_Annuity!$C$13,Inputs_Annuity!$C$14),IF($B$4="M",Inputs_Annuity!$C$15,Inputs_Annuity!$C$16))*INDEX(ILT!$B$2:$C$122,MIN(C40,120)+1,IF($B$4="M",1,2))*(1-Inputs_Annuity!$C$17)^MAX(B40-Inputs_Annuity!$C$18,0)))</f>
        <v/>
      </c>
      <c r="E40">
        <f>E39*(1-D40)</f>
        <v/>
      </c>
      <c r="F40">
        <f>(E39+E40)/2</f>
        <v/>
      </c>
      <c r="G40">
        <f>G39*(1+IF(B40=Inputs_Annuity!$C$7,Inputs_Annuity!$C$8,Inputs_Annuity!$C$6))</f>
        <v/>
      </c>
      <c r="H40">
        <f>$B$7*G40*F40</f>
        <v/>
      </c>
      <c r="I40">
        <f>INDEX(Curve_Annuity!$D$2:$D$101,A40)</f>
        <v/>
      </c>
      <c r="J40">
        <f>H40*I40</f>
        <v/>
      </c>
    </row>
    <row r="41">
      <c r="A41" t="n">
        <v>23</v>
      </c>
      <c r="B41">
        <f>Inputs_Annuity!$C$2+A41</f>
        <v/>
      </c>
      <c r="C41">
        <f>$B$5+A41-1</f>
        <v/>
      </c>
      <c r="D41">
        <f>IF(C41&gt;=120,1,MIN(1,IF(A41&lt;=$B$6,IF($B$4="M",Inputs_Annuity!$C$13,Inputs_Annuity!$C$14),IF($B$4="M",Inputs_Annuity!$C$15,Inputs_Annuity!$C$16))*INDEX(ILT!$B$2:$C$122,MIN(C41,120)+1,IF($B$4="M",1,2))*(1-Inputs_Annuity!$C$17)^MAX(B41-Inputs_Annuity!$C$18,0)))</f>
        <v/>
      </c>
      <c r="E41">
        <f>E40*(1-D41)</f>
        <v/>
      </c>
      <c r="F41">
        <f>(E40+E41)/2</f>
        <v/>
      </c>
      <c r="G41">
        <f>G40*(1+IF(B41=Inputs_Annuity!$C$7,Inputs_Annuity!$C$8,Inputs_Annuity!$C$6))</f>
        <v/>
      </c>
      <c r="H41">
        <f>$B$7*G41*F41</f>
        <v/>
      </c>
      <c r="I41">
        <f>INDEX(Curve_Annuity!$D$2:$D$101,A41)</f>
        <v/>
      </c>
      <c r="J41">
        <f>H41*I41</f>
        <v/>
      </c>
    </row>
    <row r="42">
      <c r="A42" t="n">
        <v>24</v>
      </c>
      <c r="B42">
        <f>Inputs_Annuity!$C$2+A42</f>
        <v/>
      </c>
      <c r="C42">
        <f>$B$5+A42-1</f>
        <v/>
      </c>
      <c r="D42">
        <f>IF(C42&gt;=120,1,MIN(1,IF(A42&lt;=$B$6,IF($B$4="M",Inputs_Annuity!$C$13,Inputs_Annuity!$C$14),IF($B$4="M",Inputs_Annuity!$C$15,Inputs_Annuity!$C$16))*INDEX(ILT!$B$2:$C$122,MIN(C42,120)+1,IF($B$4="M",1,2))*(1-Inputs_Annuity!$C$17)^MAX(B42-Inputs_Annuity!$C$18,0)))</f>
        <v/>
      </c>
      <c r="E42">
        <f>E41*(1-D42)</f>
        <v/>
      </c>
      <c r="F42">
        <f>(E41+E42)/2</f>
        <v/>
      </c>
      <c r="G42">
        <f>G41*(1+IF(B42=Inputs_Annuity!$C$7,Inputs_Annuity!$C$8,Inputs_Annuity!$C$6))</f>
        <v/>
      </c>
      <c r="H42">
        <f>$B$7*G42*F42</f>
        <v/>
      </c>
      <c r="I42">
        <f>INDEX(Curve_Annuity!$D$2:$D$101,A42)</f>
        <v/>
      </c>
      <c r="J42">
        <f>H42*I42</f>
        <v/>
      </c>
    </row>
    <row r="43">
      <c r="A43" t="n">
        <v>25</v>
      </c>
      <c r="B43">
        <f>Inputs_Annuity!$C$2+A43</f>
        <v/>
      </c>
      <c r="C43">
        <f>$B$5+A43-1</f>
        <v/>
      </c>
      <c r="D43">
        <f>IF(C43&gt;=120,1,MIN(1,IF(A43&lt;=$B$6,IF($B$4="M",Inputs_Annuity!$C$13,Inputs_Annuity!$C$14),IF($B$4="M",Inputs_Annuity!$C$15,Inputs_Annuity!$C$16))*INDEX(ILT!$B$2:$C$122,MIN(C43,120)+1,IF($B$4="M",1,2))*(1-Inputs_Annuity!$C$17)^MAX(B43-Inputs_Annuity!$C$18,0)))</f>
        <v/>
      </c>
      <c r="E43">
        <f>E42*(1-D43)</f>
        <v/>
      </c>
      <c r="F43">
        <f>(E42+E43)/2</f>
        <v/>
      </c>
      <c r="G43">
        <f>G42*(1+IF(B43=Inputs_Annuity!$C$7,Inputs_Annuity!$C$8,Inputs_Annuity!$C$6))</f>
        <v/>
      </c>
      <c r="H43">
        <f>$B$7*G43*F43</f>
        <v/>
      </c>
      <c r="I43">
        <f>INDEX(Curve_Annuity!$D$2:$D$101,A43)</f>
        <v/>
      </c>
      <c r="J43">
        <f>H43*I43</f>
        <v/>
      </c>
    </row>
    <row r="44">
      <c r="A44" t="n">
        <v>26</v>
      </c>
      <c r="B44">
        <f>Inputs_Annuity!$C$2+A44</f>
        <v/>
      </c>
      <c r="C44">
        <f>$B$5+A44-1</f>
        <v/>
      </c>
      <c r="D44">
        <f>IF(C44&gt;=120,1,MIN(1,IF(A44&lt;=$B$6,IF($B$4="M",Inputs_Annuity!$C$13,Inputs_Annuity!$C$14),IF($B$4="M",Inputs_Annuity!$C$15,Inputs_Annuity!$C$16))*INDEX(ILT!$B$2:$C$122,MIN(C44,120)+1,IF($B$4="M",1,2))*(1-Inputs_Annuity!$C$17)^MAX(B44-Inputs_Annuity!$C$18,0)))</f>
        <v/>
      </c>
      <c r="E44">
        <f>E43*(1-D44)</f>
        <v/>
      </c>
      <c r="F44">
        <f>(E43+E44)/2</f>
        <v/>
      </c>
      <c r="G44">
        <f>G43*(1+IF(B44=Inputs_Annuity!$C$7,Inputs_Annuity!$C$8,Inputs_Annuity!$C$6))</f>
        <v/>
      </c>
      <c r="H44">
        <f>$B$7*G44*F44</f>
        <v/>
      </c>
      <c r="I44">
        <f>INDEX(Curve_Annuity!$D$2:$D$101,A44)</f>
        <v/>
      </c>
      <c r="J44">
        <f>H44*I44</f>
        <v/>
      </c>
    </row>
    <row r="45">
      <c r="A45" t="n">
        <v>27</v>
      </c>
      <c r="B45">
        <f>Inputs_Annuity!$C$2+A45</f>
        <v/>
      </c>
      <c r="C45">
        <f>$B$5+A45-1</f>
        <v/>
      </c>
      <c r="D45">
        <f>IF(C45&gt;=120,1,MIN(1,IF(A45&lt;=$B$6,IF($B$4="M",Inputs_Annuity!$C$13,Inputs_Annuity!$C$14),IF($B$4="M",Inputs_Annuity!$C$15,Inputs_Annuity!$C$16))*INDEX(ILT!$B$2:$C$122,MIN(C45,120)+1,IF($B$4="M",1,2))*(1-Inputs_Annuity!$C$17)^MAX(B45-Inputs_Annuity!$C$18,0)))</f>
        <v/>
      </c>
      <c r="E45">
        <f>E44*(1-D45)</f>
        <v/>
      </c>
      <c r="F45">
        <f>(E44+E45)/2</f>
        <v/>
      </c>
      <c r="G45">
        <f>G44*(1+IF(B45=Inputs_Annuity!$C$7,Inputs_Annuity!$C$8,Inputs_Annuity!$C$6))</f>
        <v/>
      </c>
      <c r="H45">
        <f>$B$7*G45*F45</f>
        <v/>
      </c>
      <c r="I45">
        <f>INDEX(Curve_Annuity!$D$2:$D$101,A45)</f>
        <v/>
      </c>
      <c r="J45">
        <f>H45*I45</f>
        <v/>
      </c>
    </row>
    <row r="46">
      <c r="A46" t="n">
        <v>28</v>
      </c>
      <c r="B46">
        <f>Inputs_Annuity!$C$2+A46</f>
        <v/>
      </c>
      <c r="C46">
        <f>$B$5+A46-1</f>
        <v/>
      </c>
      <c r="D46">
        <f>IF(C46&gt;=120,1,MIN(1,IF(A46&lt;=$B$6,IF($B$4="M",Inputs_Annuity!$C$13,Inputs_Annuity!$C$14),IF($B$4="M",Inputs_Annuity!$C$15,Inputs_Annuity!$C$16))*INDEX(ILT!$B$2:$C$122,MIN(C46,120)+1,IF($B$4="M",1,2))*(1-Inputs_Annuity!$C$17)^MAX(B46-Inputs_Annuity!$C$18,0)))</f>
        <v/>
      </c>
      <c r="E46">
        <f>E45*(1-D46)</f>
        <v/>
      </c>
      <c r="F46">
        <f>(E45+E46)/2</f>
        <v/>
      </c>
      <c r="G46">
        <f>G45*(1+IF(B46=Inputs_Annuity!$C$7,Inputs_Annuity!$C$8,Inputs_Annuity!$C$6))</f>
        <v/>
      </c>
      <c r="H46">
        <f>$B$7*G46*F46</f>
        <v/>
      </c>
      <c r="I46">
        <f>INDEX(Curve_Annuity!$D$2:$D$101,A46)</f>
        <v/>
      </c>
      <c r="J46">
        <f>H46*I46</f>
        <v/>
      </c>
    </row>
    <row r="47">
      <c r="A47" t="n">
        <v>29</v>
      </c>
      <c r="B47">
        <f>Inputs_Annuity!$C$2+A47</f>
        <v/>
      </c>
      <c r="C47">
        <f>$B$5+A47-1</f>
        <v/>
      </c>
      <c r="D47">
        <f>IF(C47&gt;=120,1,MIN(1,IF(A47&lt;=$B$6,IF($B$4="M",Inputs_Annuity!$C$13,Inputs_Annuity!$C$14),IF($B$4="M",Inputs_Annuity!$C$15,Inputs_Annuity!$C$16))*INDEX(ILT!$B$2:$C$122,MIN(C47,120)+1,IF($B$4="M",1,2))*(1-Inputs_Annuity!$C$17)^MAX(B47-Inputs_Annuity!$C$18,0)))</f>
        <v/>
      </c>
      <c r="E47">
        <f>E46*(1-D47)</f>
        <v/>
      </c>
      <c r="F47">
        <f>(E46+E47)/2</f>
        <v/>
      </c>
      <c r="G47">
        <f>G46*(1+IF(B47=Inputs_Annuity!$C$7,Inputs_Annuity!$C$8,Inputs_Annuity!$C$6))</f>
        <v/>
      </c>
      <c r="H47">
        <f>$B$7*G47*F47</f>
        <v/>
      </c>
      <c r="I47">
        <f>INDEX(Curve_Annuity!$D$2:$D$101,A47)</f>
        <v/>
      </c>
      <c r="J47">
        <f>H47*I47</f>
        <v/>
      </c>
    </row>
    <row r="48">
      <c r="A48" t="n">
        <v>30</v>
      </c>
      <c r="B48">
        <f>Inputs_Annuity!$C$2+A48</f>
        <v/>
      </c>
      <c r="C48">
        <f>$B$5+A48-1</f>
        <v/>
      </c>
      <c r="D48">
        <f>IF(C48&gt;=120,1,MIN(1,IF(A48&lt;=$B$6,IF($B$4="M",Inputs_Annuity!$C$13,Inputs_Annuity!$C$14),IF($B$4="M",Inputs_Annuity!$C$15,Inputs_Annuity!$C$16))*INDEX(ILT!$B$2:$C$122,MIN(C48,120)+1,IF($B$4="M",1,2))*(1-Inputs_Annuity!$C$17)^MAX(B48-Inputs_Annuity!$C$18,0)))</f>
        <v/>
      </c>
      <c r="E48">
        <f>E47*(1-D48)</f>
        <v/>
      </c>
      <c r="F48">
        <f>(E47+E48)/2</f>
        <v/>
      </c>
      <c r="G48">
        <f>G47*(1+IF(B48=Inputs_Annuity!$C$7,Inputs_Annuity!$C$8,Inputs_Annuity!$C$6))</f>
        <v/>
      </c>
      <c r="H48">
        <f>$B$7*G48*F48</f>
        <v/>
      </c>
      <c r="I48">
        <f>INDEX(Curve_Annuity!$D$2:$D$101,A48)</f>
        <v/>
      </c>
      <c r="J48">
        <f>H48*I48</f>
        <v/>
      </c>
    </row>
    <row r="49">
      <c r="A49" t="n">
        <v>31</v>
      </c>
      <c r="B49">
        <f>Inputs_Annuity!$C$2+A49</f>
        <v/>
      </c>
      <c r="C49">
        <f>$B$5+A49-1</f>
        <v/>
      </c>
      <c r="D49">
        <f>IF(C49&gt;=120,1,MIN(1,IF(A49&lt;=$B$6,IF($B$4="M",Inputs_Annuity!$C$13,Inputs_Annuity!$C$14),IF($B$4="M",Inputs_Annuity!$C$15,Inputs_Annuity!$C$16))*INDEX(ILT!$B$2:$C$122,MIN(C49,120)+1,IF($B$4="M",1,2))*(1-Inputs_Annuity!$C$17)^MAX(B49-Inputs_Annuity!$C$18,0)))</f>
        <v/>
      </c>
      <c r="E49">
        <f>E48*(1-D49)</f>
        <v/>
      </c>
      <c r="F49">
        <f>(E48+E49)/2</f>
        <v/>
      </c>
      <c r="G49">
        <f>G48*(1+IF(B49=Inputs_Annuity!$C$7,Inputs_Annuity!$C$8,Inputs_Annuity!$C$6))</f>
        <v/>
      </c>
      <c r="H49">
        <f>$B$7*G49*F49</f>
        <v/>
      </c>
      <c r="I49">
        <f>INDEX(Curve_Annuity!$D$2:$D$101,A49)</f>
        <v/>
      </c>
      <c r="J49">
        <f>H49*I49</f>
        <v/>
      </c>
    </row>
    <row r="50">
      <c r="A50" t="n">
        <v>32</v>
      </c>
      <c r="B50">
        <f>Inputs_Annuity!$C$2+A50</f>
        <v/>
      </c>
      <c r="C50">
        <f>$B$5+A50-1</f>
        <v/>
      </c>
      <c r="D50">
        <f>IF(C50&gt;=120,1,MIN(1,IF(A50&lt;=$B$6,IF($B$4="M",Inputs_Annuity!$C$13,Inputs_Annuity!$C$14),IF($B$4="M",Inputs_Annuity!$C$15,Inputs_Annuity!$C$16))*INDEX(ILT!$B$2:$C$122,MIN(C50,120)+1,IF($B$4="M",1,2))*(1-Inputs_Annuity!$C$17)^MAX(B50-Inputs_Annuity!$C$18,0)))</f>
        <v/>
      </c>
      <c r="E50">
        <f>E49*(1-D50)</f>
        <v/>
      </c>
      <c r="F50">
        <f>(E49+E50)/2</f>
        <v/>
      </c>
      <c r="G50">
        <f>G49*(1+IF(B50=Inputs_Annuity!$C$7,Inputs_Annuity!$C$8,Inputs_Annuity!$C$6))</f>
        <v/>
      </c>
      <c r="H50">
        <f>$B$7*G50*F50</f>
        <v/>
      </c>
      <c r="I50">
        <f>INDEX(Curve_Annuity!$D$2:$D$101,A50)</f>
        <v/>
      </c>
      <c r="J50">
        <f>H50*I50</f>
        <v/>
      </c>
    </row>
    <row r="51">
      <c r="A51" t="n">
        <v>33</v>
      </c>
      <c r="B51">
        <f>Inputs_Annuity!$C$2+A51</f>
        <v/>
      </c>
      <c r="C51">
        <f>$B$5+A51-1</f>
        <v/>
      </c>
      <c r="D51">
        <f>IF(C51&gt;=120,1,MIN(1,IF(A51&lt;=$B$6,IF($B$4="M",Inputs_Annuity!$C$13,Inputs_Annuity!$C$14),IF($B$4="M",Inputs_Annuity!$C$15,Inputs_Annuity!$C$16))*INDEX(ILT!$B$2:$C$122,MIN(C51,120)+1,IF($B$4="M",1,2))*(1-Inputs_Annuity!$C$17)^MAX(B51-Inputs_Annuity!$C$18,0)))</f>
        <v/>
      </c>
      <c r="E51">
        <f>E50*(1-D51)</f>
        <v/>
      </c>
      <c r="F51">
        <f>(E50+E51)/2</f>
        <v/>
      </c>
      <c r="G51">
        <f>G50*(1+IF(B51=Inputs_Annuity!$C$7,Inputs_Annuity!$C$8,Inputs_Annuity!$C$6))</f>
        <v/>
      </c>
      <c r="H51">
        <f>$B$7*G51*F51</f>
        <v/>
      </c>
      <c r="I51">
        <f>INDEX(Curve_Annuity!$D$2:$D$101,A51)</f>
        <v/>
      </c>
      <c r="J51">
        <f>H51*I51</f>
        <v/>
      </c>
    </row>
    <row r="52">
      <c r="A52" t="n">
        <v>34</v>
      </c>
      <c r="B52">
        <f>Inputs_Annuity!$C$2+A52</f>
        <v/>
      </c>
      <c r="C52">
        <f>$B$5+A52-1</f>
        <v/>
      </c>
      <c r="D52">
        <f>IF(C52&gt;=120,1,MIN(1,IF(A52&lt;=$B$6,IF($B$4="M",Inputs_Annuity!$C$13,Inputs_Annuity!$C$14),IF($B$4="M",Inputs_Annuity!$C$15,Inputs_Annuity!$C$16))*INDEX(ILT!$B$2:$C$122,MIN(C52,120)+1,IF($B$4="M",1,2))*(1-Inputs_Annuity!$C$17)^MAX(B52-Inputs_Annuity!$C$18,0)))</f>
        <v/>
      </c>
      <c r="E52">
        <f>E51*(1-D52)</f>
        <v/>
      </c>
      <c r="F52">
        <f>(E51+E52)/2</f>
        <v/>
      </c>
      <c r="G52">
        <f>G51*(1+IF(B52=Inputs_Annuity!$C$7,Inputs_Annuity!$C$8,Inputs_Annuity!$C$6))</f>
        <v/>
      </c>
      <c r="H52">
        <f>$B$7*G52*F52</f>
        <v/>
      </c>
      <c r="I52">
        <f>INDEX(Curve_Annuity!$D$2:$D$101,A52)</f>
        <v/>
      </c>
      <c r="J52">
        <f>H52*I52</f>
        <v/>
      </c>
    </row>
    <row r="53">
      <c r="A53" t="n">
        <v>35</v>
      </c>
      <c r="B53">
        <f>Inputs_Annuity!$C$2+A53</f>
        <v/>
      </c>
      <c r="C53">
        <f>$B$5+A53-1</f>
        <v/>
      </c>
      <c r="D53">
        <f>IF(C53&gt;=120,1,MIN(1,IF(A53&lt;=$B$6,IF($B$4="M",Inputs_Annuity!$C$13,Inputs_Annuity!$C$14),IF($B$4="M",Inputs_Annuity!$C$15,Inputs_Annuity!$C$16))*INDEX(ILT!$B$2:$C$122,MIN(C53,120)+1,IF($B$4="M",1,2))*(1-Inputs_Annuity!$C$17)^MAX(B53-Inputs_Annuity!$C$18,0)))</f>
        <v/>
      </c>
      <c r="E53">
        <f>E52*(1-D53)</f>
        <v/>
      </c>
      <c r="F53">
        <f>(E52+E53)/2</f>
        <v/>
      </c>
      <c r="G53">
        <f>G52*(1+IF(B53=Inputs_Annuity!$C$7,Inputs_Annuity!$C$8,Inputs_Annuity!$C$6))</f>
        <v/>
      </c>
      <c r="H53">
        <f>$B$7*G53*F53</f>
        <v/>
      </c>
      <c r="I53">
        <f>INDEX(Curve_Annuity!$D$2:$D$101,A53)</f>
        <v/>
      </c>
      <c r="J53">
        <f>H53*I53</f>
        <v/>
      </c>
    </row>
    <row r="54">
      <c r="A54" t="n">
        <v>36</v>
      </c>
      <c r="B54">
        <f>Inputs_Annuity!$C$2+A54</f>
        <v/>
      </c>
      <c r="C54">
        <f>$B$5+A54-1</f>
        <v/>
      </c>
      <c r="D54">
        <f>IF(C54&gt;=120,1,MIN(1,IF(A54&lt;=$B$6,IF($B$4="M",Inputs_Annuity!$C$13,Inputs_Annuity!$C$14),IF($B$4="M",Inputs_Annuity!$C$15,Inputs_Annuity!$C$16))*INDEX(ILT!$B$2:$C$122,MIN(C54,120)+1,IF($B$4="M",1,2))*(1-Inputs_Annuity!$C$17)^MAX(B54-Inputs_Annuity!$C$18,0)))</f>
        <v/>
      </c>
      <c r="E54">
        <f>E53*(1-D54)</f>
        <v/>
      </c>
      <c r="F54">
        <f>(E53+E54)/2</f>
        <v/>
      </c>
      <c r="G54">
        <f>G53*(1+IF(B54=Inputs_Annuity!$C$7,Inputs_Annuity!$C$8,Inputs_Annuity!$C$6))</f>
        <v/>
      </c>
      <c r="H54">
        <f>$B$7*G54*F54</f>
        <v/>
      </c>
      <c r="I54">
        <f>INDEX(Curve_Annuity!$D$2:$D$101,A54)</f>
        <v/>
      </c>
      <c r="J54">
        <f>H54*I54</f>
        <v/>
      </c>
    </row>
    <row r="55">
      <c r="A55" t="n">
        <v>37</v>
      </c>
      <c r="B55">
        <f>Inputs_Annuity!$C$2+A55</f>
        <v/>
      </c>
      <c r="C55">
        <f>$B$5+A55-1</f>
        <v/>
      </c>
      <c r="D55">
        <f>IF(C55&gt;=120,1,MIN(1,IF(A55&lt;=$B$6,IF($B$4="M",Inputs_Annuity!$C$13,Inputs_Annuity!$C$14),IF($B$4="M",Inputs_Annuity!$C$15,Inputs_Annuity!$C$16))*INDEX(ILT!$B$2:$C$122,MIN(C55,120)+1,IF($B$4="M",1,2))*(1-Inputs_Annuity!$C$17)^MAX(B55-Inputs_Annuity!$C$18,0)))</f>
        <v/>
      </c>
      <c r="E55">
        <f>E54*(1-D55)</f>
        <v/>
      </c>
      <c r="F55">
        <f>(E54+E55)/2</f>
        <v/>
      </c>
      <c r="G55">
        <f>G54*(1+IF(B55=Inputs_Annuity!$C$7,Inputs_Annuity!$C$8,Inputs_Annuity!$C$6))</f>
        <v/>
      </c>
      <c r="H55">
        <f>$B$7*G55*F55</f>
        <v/>
      </c>
      <c r="I55">
        <f>INDEX(Curve_Annuity!$D$2:$D$101,A55)</f>
        <v/>
      </c>
      <c r="J55">
        <f>H55*I55</f>
        <v/>
      </c>
    </row>
    <row r="56">
      <c r="A56" t="n">
        <v>38</v>
      </c>
      <c r="B56">
        <f>Inputs_Annuity!$C$2+A56</f>
        <v/>
      </c>
      <c r="C56">
        <f>$B$5+A56-1</f>
        <v/>
      </c>
      <c r="D56">
        <f>IF(C56&gt;=120,1,MIN(1,IF(A56&lt;=$B$6,IF($B$4="M",Inputs_Annuity!$C$13,Inputs_Annuity!$C$14),IF($B$4="M",Inputs_Annuity!$C$15,Inputs_Annuity!$C$16))*INDEX(ILT!$B$2:$C$122,MIN(C56,120)+1,IF($B$4="M",1,2))*(1-Inputs_Annuity!$C$17)^MAX(B56-Inputs_Annuity!$C$18,0)))</f>
        <v/>
      </c>
      <c r="E56">
        <f>E55*(1-D56)</f>
        <v/>
      </c>
      <c r="F56">
        <f>(E55+E56)/2</f>
        <v/>
      </c>
      <c r="G56">
        <f>G55*(1+IF(B56=Inputs_Annuity!$C$7,Inputs_Annuity!$C$8,Inputs_Annuity!$C$6))</f>
        <v/>
      </c>
      <c r="H56">
        <f>$B$7*G56*F56</f>
        <v/>
      </c>
      <c r="I56">
        <f>INDEX(Curve_Annuity!$D$2:$D$101,A56)</f>
        <v/>
      </c>
      <c r="J56">
        <f>H56*I56</f>
        <v/>
      </c>
    </row>
    <row r="57">
      <c r="A57" t="n">
        <v>39</v>
      </c>
      <c r="B57">
        <f>Inputs_Annuity!$C$2+A57</f>
        <v/>
      </c>
      <c r="C57">
        <f>$B$5+A57-1</f>
        <v/>
      </c>
      <c r="D57">
        <f>IF(C57&gt;=120,1,MIN(1,IF(A57&lt;=$B$6,IF($B$4="M",Inputs_Annuity!$C$13,Inputs_Annuity!$C$14),IF($B$4="M",Inputs_Annuity!$C$15,Inputs_Annuity!$C$16))*INDEX(ILT!$B$2:$C$122,MIN(C57,120)+1,IF($B$4="M",1,2))*(1-Inputs_Annuity!$C$17)^MAX(B57-Inputs_Annuity!$C$18,0)))</f>
        <v/>
      </c>
      <c r="E57">
        <f>E56*(1-D57)</f>
        <v/>
      </c>
      <c r="F57">
        <f>(E56+E57)/2</f>
        <v/>
      </c>
      <c r="G57">
        <f>G56*(1+IF(B57=Inputs_Annuity!$C$7,Inputs_Annuity!$C$8,Inputs_Annuity!$C$6))</f>
        <v/>
      </c>
      <c r="H57">
        <f>$B$7*G57*F57</f>
        <v/>
      </c>
      <c r="I57">
        <f>INDEX(Curve_Annuity!$D$2:$D$101,A57)</f>
        <v/>
      </c>
      <c r="J57">
        <f>H57*I57</f>
        <v/>
      </c>
    </row>
    <row r="58">
      <c r="A58" t="n">
        <v>40</v>
      </c>
      <c r="B58">
        <f>Inputs_Annuity!$C$2+A58</f>
        <v/>
      </c>
      <c r="C58">
        <f>$B$5+A58-1</f>
        <v/>
      </c>
      <c r="D58">
        <f>IF(C58&gt;=120,1,MIN(1,IF(A58&lt;=$B$6,IF($B$4="M",Inputs_Annuity!$C$13,Inputs_Annuity!$C$14),IF($B$4="M",Inputs_Annuity!$C$15,Inputs_Annuity!$C$16))*INDEX(ILT!$B$2:$C$122,MIN(C58,120)+1,IF($B$4="M",1,2))*(1-Inputs_Annuity!$C$17)^MAX(B58-Inputs_Annuity!$C$18,0)))</f>
        <v/>
      </c>
      <c r="E58">
        <f>E57*(1-D58)</f>
        <v/>
      </c>
      <c r="F58">
        <f>(E57+E58)/2</f>
        <v/>
      </c>
      <c r="G58">
        <f>G57*(1+IF(B58=Inputs_Annuity!$C$7,Inputs_Annuity!$C$8,Inputs_Annuity!$C$6))</f>
        <v/>
      </c>
      <c r="H58">
        <f>$B$7*G58*F58</f>
        <v/>
      </c>
      <c r="I58">
        <f>INDEX(Curve_Annuity!$D$2:$D$101,A58)</f>
        <v/>
      </c>
      <c r="J58">
        <f>H58*I58</f>
        <v/>
      </c>
    </row>
    <row r="59">
      <c r="A59" t="n">
        <v>41</v>
      </c>
      <c r="B59">
        <f>Inputs_Annuity!$C$2+A59</f>
        <v/>
      </c>
      <c r="C59">
        <f>$B$5+A59-1</f>
        <v/>
      </c>
      <c r="D59">
        <f>IF(C59&gt;=120,1,MIN(1,IF(A59&lt;=$B$6,IF($B$4="M",Inputs_Annuity!$C$13,Inputs_Annuity!$C$14),IF($B$4="M",Inputs_Annuity!$C$15,Inputs_Annuity!$C$16))*INDEX(ILT!$B$2:$C$122,MIN(C59,120)+1,IF($B$4="M",1,2))*(1-Inputs_Annuity!$C$17)^MAX(B59-Inputs_Annuity!$C$18,0)))</f>
        <v/>
      </c>
      <c r="E59">
        <f>E58*(1-D59)</f>
        <v/>
      </c>
      <c r="F59">
        <f>(E58+E59)/2</f>
        <v/>
      </c>
      <c r="G59">
        <f>G58*(1+IF(B59=Inputs_Annuity!$C$7,Inputs_Annuity!$C$8,Inputs_Annuity!$C$6))</f>
        <v/>
      </c>
      <c r="H59">
        <f>$B$7*G59*F59</f>
        <v/>
      </c>
      <c r="I59">
        <f>INDEX(Curve_Annuity!$D$2:$D$101,A59)</f>
        <v/>
      </c>
      <c r="J59">
        <f>H59*I59</f>
        <v/>
      </c>
    </row>
    <row r="60">
      <c r="A60" t="n">
        <v>42</v>
      </c>
      <c r="B60">
        <f>Inputs_Annuity!$C$2+A60</f>
        <v/>
      </c>
      <c r="C60">
        <f>$B$5+A60-1</f>
        <v/>
      </c>
      <c r="D60">
        <f>IF(C60&gt;=120,1,MIN(1,IF(A60&lt;=$B$6,IF($B$4="M",Inputs_Annuity!$C$13,Inputs_Annuity!$C$14),IF($B$4="M",Inputs_Annuity!$C$15,Inputs_Annuity!$C$16))*INDEX(ILT!$B$2:$C$122,MIN(C60,120)+1,IF($B$4="M",1,2))*(1-Inputs_Annuity!$C$17)^MAX(B60-Inputs_Annuity!$C$18,0)))</f>
        <v/>
      </c>
      <c r="E60">
        <f>E59*(1-D60)</f>
        <v/>
      </c>
      <c r="F60">
        <f>(E59+E60)/2</f>
        <v/>
      </c>
      <c r="G60">
        <f>G59*(1+IF(B60=Inputs_Annuity!$C$7,Inputs_Annuity!$C$8,Inputs_Annuity!$C$6))</f>
        <v/>
      </c>
      <c r="H60">
        <f>$B$7*G60*F60</f>
        <v/>
      </c>
      <c r="I60">
        <f>INDEX(Curve_Annuity!$D$2:$D$101,A60)</f>
        <v/>
      </c>
      <c r="J60">
        <f>H60*I60</f>
        <v/>
      </c>
    </row>
    <row r="61">
      <c r="A61" t="n">
        <v>43</v>
      </c>
      <c r="B61">
        <f>Inputs_Annuity!$C$2+A61</f>
        <v/>
      </c>
      <c r="C61">
        <f>$B$5+A61-1</f>
        <v/>
      </c>
      <c r="D61">
        <f>IF(C61&gt;=120,1,MIN(1,IF(A61&lt;=$B$6,IF($B$4="M",Inputs_Annuity!$C$13,Inputs_Annuity!$C$14),IF($B$4="M",Inputs_Annuity!$C$15,Inputs_Annuity!$C$16))*INDEX(ILT!$B$2:$C$122,MIN(C61,120)+1,IF($B$4="M",1,2))*(1-Inputs_Annuity!$C$17)^MAX(B61-Inputs_Annuity!$C$18,0)))</f>
        <v/>
      </c>
      <c r="E61">
        <f>E60*(1-D61)</f>
        <v/>
      </c>
      <c r="F61">
        <f>(E60+E61)/2</f>
        <v/>
      </c>
      <c r="G61">
        <f>G60*(1+IF(B61=Inputs_Annuity!$C$7,Inputs_Annuity!$C$8,Inputs_Annuity!$C$6))</f>
        <v/>
      </c>
      <c r="H61">
        <f>$B$7*G61*F61</f>
        <v/>
      </c>
      <c r="I61">
        <f>INDEX(Curve_Annuity!$D$2:$D$101,A61)</f>
        <v/>
      </c>
      <c r="J61">
        <f>H61*I61</f>
        <v/>
      </c>
    </row>
    <row r="62">
      <c r="A62" t="n">
        <v>44</v>
      </c>
      <c r="B62">
        <f>Inputs_Annuity!$C$2+A62</f>
        <v/>
      </c>
      <c r="C62">
        <f>$B$5+A62-1</f>
        <v/>
      </c>
      <c r="D62">
        <f>IF(C62&gt;=120,1,MIN(1,IF(A62&lt;=$B$6,IF($B$4="M",Inputs_Annuity!$C$13,Inputs_Annuity!$C$14),IF($B$4="M",Inputs_Annuity!$C$15,Inputs_Annuity!$C$16))*INDEX(ILT!$B$2:$C$122,MIN(C62,120)+1,IF($B$4="M",1,2))*(1-Inputs_Annuity!$C$17)^MAX(B62-Inputs_Annuity!$C$18,0)))</f>
        <v/>
      </c>
      <c r="E62">
        <f>E61*(1-D62)</f>
        <v/>
      </c>
      <c r="F62">
        <f>(E61+E62)/2</f>
        <v/>
      </c>
      <c r="G62">
        <f>G61*(1+IF(B62=Inputs_Annuity!$C$7,Inputs_Annuity!$C$8,Inputs_Annuity!$C$6))</f>
        <v/>
      </c>
      <c r="H62">
        <f>$B$7*G62*F62</f>
        <v/>
      </c>
      <c r="I62">
        <f>INDEX(Curve_Annuity!$D$2:$D$101,A62)</f>
        <v/>
      </c>
      <c r="J62">
        <f>H62*I62</f>
        <v/>
      </c>
    </row>
    <row r="63">
      <c r="A63" t="n">
        <v>45</v>
      </c>
      <c r="B63">
        <f>Inputs_Annuity!$C$2+A63</f>
        <v/>
      </c>
      <c r="C63">
        <f>$B$5+A63-1</f>
        <v/>
      </c>
      <c r="D63">
        <f>IF(C63&gt;=120,1,MIN(1,IF(A63&lt;=$B$6,IF($B$4="M",Inputs_Annuity!$C$13,Inputs_Annuity!$C$14),IF($B$4="M",Inputs_Annuity!$C$15,Inputs_Annuity!$C$16))*INDEX(ILT!$B$2:$C$122,MIN(C63,120)+1,IF($B$4="M",1,2))*(1-Inputs_Annuity!$C$17)^MAX(B63-Inputs_Annuity!$C$18,0)))</f>
        <v/>
      </c>
      <c r="E63">
        <f>E62*(1-D63)</f>
        <v/>
      </c>
      <c r="F63">
        <f>(E62+E63)/2</f>
        <v/>
      </c>
      <c r="G63">
        <f>G62*(1+IF(B63=Inputs_Annuity!$C$7,Inputs_Annuity!$C$8,Inputs_Annuity!$C$6))</f>
        <v/>
      </c>
      <c r="H63">
        <f>$B$7*G63*F63</f>
        <v/>
      </c>
      <c r="I63">
        <f>INDEX(Curve_Annuity!$D$2:$D$101,A63)</f>
        <v/>
      </c>
      <c r="J63">
        <f>H63*I63</f>
        <v/>
      </c>
    </row>
    <row r="64">
      <c r="A64" t="n">
        <v>46</v>
      </c>
      <c r="B64">
        <f>Inputs_Annuity!$C$2+A64</f>
        <v/>
      </c>
      <c r="C64">
        <f>$B$5+A64-1</f>
        <v/>
      </c>
      <c r="D64">
        <f>IF(C64&gt;=120,1,MIN(1,IF(A64&lt;=$B$6,IF($B$4="M",Inputs_Annuity!$C$13,Inputs_Annuity!$C$14),IF($B$4="M",Inputs_Annuity!$C$15,Inputs_Annuity!$C$16))*INDEX(ILT!$B$2:$C$122,MIN(C64,120)+1,IF($B$4="M",1,2))*(1-Inputs_Annuity!$C$17)^MAX(B64-Inputs_Annuity!$C$18,0)))</f>
        <v/>
      </c>
      <c r="E64">
        <f>E63*(1-D64)</f>
        <v/>
      </c>
      <c r="F64">
        <f>(E63+E64)/2</f>
        <v/>
      </c>
      <c r="G64">
        <f>G63*(1+IF(B64=Inputs_Annuity!$C$7,Inputs_Annuity!$C$8,Inputs_Annuity!$C$6))</f>
        <v/>
      </c>
      <c r="H64">
        <f>$B$7*G64*F64</f>
        <v/>
      </c>
      <c r="I64">
        <f>INDEX(Curve_Annuity!$D$2:$D$101,A64)</f>
        <v/>
      </c>
      <c r="J64">
        <f>H64*I64</f>
        <v/>
      </c>
    </row>
    <row r="65">
      <c r="A65" t="n">
        <v>47</v>
      </c>
      <c r="B65">
        <f>Inputs_Annuity!$C$2+A65</f>
        <v/>
      </c>
      <c r="C65">
        <f>$B$5+A65-1</f>
        <v/>
      </c>
      <c r="D65">
        <f>IF(C65&gt;=120,1,MIN(1,IF(A65&lt;=$B$6,IF($B$4="M",Inputs_Annuity!$C$13,Inputs_Annuity!$C$14),IF($B$4="M",Inputs_Annuity!$C$15,Inputs_Annuity!$C$16))*INDEX(ILT!$B$2:$C$122,MIN(C65,120)+1,IF($B$4="M",1,2))*(1-Inputs_Annuity!$C$17)^MAX(B65-Inputs_Annuity!$C$18,0)))</f>
        <v/>
      </c>
      <c r="E65">
        <f>E64*(1-D65)</f>
        <v/>
      </c>
      <c r="F65">
        <f>(E64+E65)/2</f>
        <v/>
      </c>
      <c r="G65">
        <f>G64*(1+IF(B65=Inputs_Annuity!$C$7,Inputs_Annuity!$C$8,Inputs_Annuity!$C$6))</f>
        <v/>
      </c>
      <c r="H65">
        <f>$B$7*G65*F65</f>
        <v/>
      </c>
      <c r="I65">
        <f>INDEX(Curve_Annuity!$D$2:$D$101,A65)</f>
        <v/>
      </c>
      <c r="J65">
        <f>H65*I65</f>
        <v/>
      </c>
    </row>
    <row r="66">
      <c r="A66" t="n">
        <v>48</v>
      </c>
      <c r="B66">
        <f>Inputs_Annuity!$C$2+A66</f>
        <v/>
      </c>
      <c r="C66">
        <f>$B$5+A66-1</f>
        <v/>
      </c>
      <c r="D66">
        <f>IF(C66&gt;=120,1,MIN(1,IF(A66&lt;=$B$6,IF($B$4="M",Inputs_Annuity!$C$13,Inputs_Annuity!$C$14),IF($B$4="M",Inputs_Annuity!$C$15,Inputs_Annuity!$C$16))*INDEX(ILT!$B$2:$C$122,MIN(C66,120)+1,IF($B$4="M",1,2))*(1-Inputs_Annuity!$C$17)^MAX(B66-Inputs_Annuity!$C$18,0)))</f>
        <v/>
      </c>
      <c r="E66">
        <f>E65*(1-D66)</f>
        <v/>
      </c>
      <c r="F66">
        <f>(E65+E66)/2</f>
        <v/>
      </c>
      <c r="G66">
        <f>G65*(1+IF(B66=Inputs_Annuity!$C$7,Inputs_Annuity!$C$8,Inputs_Annuity!$C$6))</f>
        <v/>
      </c>
      <c r="H66">
        <f>$B$7*G66*F66</f>
        <v/>
      </c>
      <c r="I66">
        <f>INDEX(Curve_Annuity!$D$2:$D$101,A66)</f>
        <v/>
      </c>
      <c r="J66">
        <f>H66*I66</f>
        <v/>
      </c>
    </row>
    <row r="67">
      <c r="A67" t="n">
        <v>49</v>
      </c>
      <c r="B67">
        <f>Inputs_Annuity!$C$2+A67</f>
        <v/>
      </c>
      <c r="C67">
        <f>$B$5+A67-1</f>
        <v/>
      </c>
      <c r="D67">
        <f>IF(C67&gt;=120,1,MIN(1,IF(A67&lt;=$B$6,IF($B$4="M",Inputs_Annuity!$C$13,Inputs_Annuity!$C$14),IF($B$4="M",Inputs_Annuity!$C$15,Inputs_Annuity!$C$16))*INDEX(ILT!$B$2:$C$122,MIN(C67,120)+1,IF($B$4="M",1,2))*(1-Inputs_Annuity!$C$17)^MAX(B67-Inputs_Annuity!$C$18,0)))</f>
        <v/>
      </c>
      <c r="E67">
        <f>E66*(1-D67)</f>
        <v/>
      </c>
      <c r="F67">
        <f>(E66+E67)/2</f>
        <v/>
      </c>
      <c r="G67">
        <f>G66*(1+IF(B67=Inputs_Annuity!$C$7,Inputs_Annuity!$C$8,Inputs_Annuity!$C$6))</f>
        <v/>
      </c>
      <c r="H67">
        <f>$B$7*G67*F67</f>
        <v/>
      </c>
      <c r="I67">
        <f>INDEX(Curve_Annuity!$D$2:$D$101,A67)</f>
        <v/>
      </c>
      <c r="J67">
        <f>H67*I67</f>
        <v/>
      </c>
    </row>
    <row r="68">
      <c r="A68" t="n">
        <v>50</v>
      </c>
      <c r="B68">
        <f>Inputs_Annuity!$C$2+A68</f>
        <v/>
      </c>
      <c r="C68">
        <f>$B$5+A68-1</f>
        <v/>
      </c>
      <c r="D68">
        <f>IF(C68&gt;=120,1,MIN(1,IF(A68&lt;=$B$6,IF($B$4="M",Inputs_Annuity!$C$13,Inputs_Annuity!$C$14),IF($B$4="M",Inputs_Annuity!$C$15,Inputs_Annuity!$C$16))*INDEX(ILT!$B$2:$C$122,MIN(C68,120)+1,IF($B$4="M",1,2))*(1-Inputs_Annuity!$C$17)^MAX(B68-Inputs_Annuity!$C$18,0)))</f>
        <v/>
      </c>
      <c r="E68">
        <f>E67*(1-D68)</f>
        <v/>
      </c>
      <c r="F68">
        <f>(E67+E68)/2</f>
        <v/>
      </c>
      <c r="G68">
        <f>G67*(1+IF(B68=Inputs_Annuity!$C$7,Inputs_Annuity!$C$8,Inputs_Annuity!$C$6))</f>
        <v/>
      </c>
      <c r="H68">
        <f>$B$7*G68*F68</f>
        <v/>
      </c>
      <c r="I68">
        <f>INDEX(Curve_Annuity!$D$2:$D$101,A68)</f>
        <v/>
      </c>
      <c r="J68">
        <f>H68*I68</f>
        <v/>
      </c>
    </row>
    <row r="69">
      <c r="A69" t="n">
        <v>51</v>
      </c>
      <c r="B69">
        <f>Inputs_Annuity!$C$2+A69</f>
        <v/>
      </c>
      <c r="C69">
        <f>$B$5+A69-1</f>
        <v/>
      </c>
      <c r="D69">
        <f>IF(C69&gt;=120,1,MIN(1,IF(A69&lt;=$B$6,IF($B$4="M",Inputs_Annuity!$C$13,Inputs_Annuity!$C$14),IF($B$4="M",Inputs_Annuity!$C$15,Inputs_Annuity!$C$16))*INDEX(ILT!$B$2:$C$122,MIN(C69,120)+1,IF($B$4="M",1,2))*(1-Inputs_Annuity!$C$17)^MAX(B69-Inputs_Annuity!$C$18,0)))</f>
        <v/>
      </c>
      <c r="E69">
        <f>E68*(1-D69)</f>
        <v/>
      </c>
      <c r="F69">
        <f>(E68+E69)/2</f>
        <v/>
      </c>
      <c r="G69">
        <f>G68*(1+IF(B69=Inputs_Annuity!$C$7,Inputs_Annuity!$C$8,Inputs_Annuity!$C$6))</f>
        <v/>
      </c>
      <c r="H69">
        <f>$B$7*G69*F69</f>
        <v/>
      </c>
      <c r="I69">
        <f>INDEX(Curve_Annuity!$D$2:$D$101,A69)</f>
        <v/>
      </c>
      <c r="J69">
        <f>H69*I69</f>
        <v/>
      </c>
    </row>
    <row r="70">
      <c r="A70" t="n">
        <v>52</v>
      </c>
      <c r="B70">
        <f>Inputs_Annuity!$C$2+A70</f>
        <v/>
      </c>
      <c r="C70">
        <f>$B$5+A70-1</f>
        <v/>
      </c>
      <c r="D70">
        <f>IF(C70&gt;=120,1,MIN(1,IF(A70&lt;=$B$6,IF($B$4="M",Inputs_Annuity!$C$13,Inputs_Annuity!$C$14),IF($B$4="M",Inputs_Annuity!$C$15,Inputs_Annuity!$C$16))*INDEX(ILT!$B$2:$C$122,MIN(C70,120)+1,IF($B$4="M",1,2))*(1-Inputs_Annuity!$C$17)^MAX(B70-Inputs_Annuity!$C$18,0)))</f>
        <v/>
      </c>
      <c r="E70">
        <f>E69*(1-D70)</f>
        <v/>
      </c>
      <c r="F70">
        <f>(E69+E70)/2</f>
        <v/>
      </c>
      <c r="G70">
        <f>G69*(1+IF(B70=Inputs_Annuity!$C$7,Inputs_Annuity!$C$8,Inputs_Annuity!$C$6))</f>
        <v/>
      </c>
      <c r="H70">
        <f>$B$7*G70*F70</f>
        <v/>
      </c>
      <c r="I70">
        <f>INDEX(Curve_Annuity!$D$2:$D$101,A70)</f>
        <v/>
      </c>
      <c r="J70">
        <f>H70*I70</f>
        <v/>
      </c>
    </row>
    <row r="71">
      <c r="A71" t="n">
        <v>53</v>
      </c>
      <c r="B71">
        <f>Inputs_Annuity!$C$2+A71</f>
        <v/>
      </c>
      <c r="C71">
        <f>$B$5+A71-1</f>
        <v/>
      </c>
      <c r="D71">
        <f>IF(C71&gt;=120,1,MIN(1,IF(A71&lt;=$B$6,IF($B$4="M",Inputs_Annuity!$C$13,Inputs_Annuity!$C$14),IF($B$4="M",Inputs_Annuity!$C$15,Inputs_Annuity!$C$16))*INDEX(ILT!$B$2:$C$122,MIN(C71,120)+1,IF($B$4="M",1,2))*(1-Inputs_Annuity!$C$17)^MAX(B71-Inputs_Annuity!$C$18,0)))</f>
        <v/>
      </c>
      <c r="E71">
        <f>E70*(1-D71)</f>
        <v/>
      </c>
      <c r="F71">
        <f>(E70+E71)/2</f>
        <v/>
      </c>
      <c r="G71">
        <f>G70*(1+IF(B71=Inputs_Annuity!$C$7,Inputs_Annuity!$C$8,Inputs_Annuity!$C$6))</f>
        <v/>
      </c>
      <c r="H71">
        <f>$B$7*G71*F71</f>
        <v/>
      </c>
      <c r="I71">
        <f>INDEX(Curve_Annuity!$D$2:$D$101,A71)</f>
        <v/>
      </c>
      <c r="J71">
        <f>H71*I71</f>
        <v/>
      </c>
    </row>
    <row r="72">
      <c r="A72" t="n">
        <v>54</v>
      </c>
      <c r="B72">
        <f>Inputs_Annuity!$C$2+A72</f>
        <v/>
      </c>
      <c r="C72">
        <f>$B$5+A72-1</f>
        <v/>
      </c>
      <c r="D72">
        <f>IF(C72&gt;=120,1,MIN(1,IF(A72&lt;=$B$6,IF($B$4="M",Inputs_Annuity!$C$13,Inputs_Annuity!$C$14),IF($B$4="M",Inputs_Annuity!$C$15,Inputs_Annuity!$C$16))*INDEX(ILT!$B$2:$C$122,MIN(C72,120)+1,IF($B$4="M",1,2))*(1-Inputs_Annuity!$C$17)^MAX(B72-Inputs_Annuity!$C$18,0)))</f>
        <v/>
      </c>
      <c r="E72">
        <f>E71*(1-D72)</f>
        <v/>
      </c>
      <c r="F72">
        <f>(E71+E72)/2</f>
        <v/>
      </c>
      <c r="G72">
        <f>G71*(1+IF(B72=Inputs_Annuity!$C$7,Inputs_Annuity!$C$8,Inputs_Annuity!$C$6))</f>
        <v/>
      </c>
      <c r="H72">
        <f>$B$7*G72*F72</f>
        <v/>
      </c>
      <c r="I72">
        <f>INDEX(Curve_Annuity!$D$2:$D$101,A72)</f>
        <v/>
      </c>
      <c r="J72">
        <f>H72*I72</f>
        <v/>
      </c>
    </row>
    <row r="73">
      <c r="A73" t="n">
        <v>55</v>
      </c>
      <c r="B73">
        <f>Inputs_Annuity!$C$2+A73</f>
        <v/>
      </c>
      <c r="C73">
        <f>$B$5+A73-1</f>
        <v/>
      </c>
      <c r="D73">
        <f>IF(C73&gt;=120,1,MIN(1,IF(A73&lt;=$B$6,IF($B$4="M",Inputs_Annuity!$C$13,Inputs_Annuity!$C$14),IF($B$4="M",Inputs_Annuity!$C$15,Inputs_Annuity!$C$16))*INDEX(ILT!$B$2:$C$122,MIN(C73,120)+1,IF($B$4="M",1,2))*(1-Inputs_Annuity!$C$17)^MAX(B73-Inputs_Annuity!$C$18,0)))</f>
        <v/>
      </c>
      <c r="E73">
        <f>E72*(1-D73)</f>
        <v/>
      </c>
      <c r="F73">
        <f>(E72+E73)/2</f>
        <v/>
      </c>
      <c r="G73">
        <f>G72*(1+IF(B73=Inputs_Annuity!$C$7,Inputs_Annuity!$C$8,Inputs_Annuity!$C$6))</f>
        <v/>
      </c>
      <c r="H73">
        <f>$B$7*G73*F73</f>
        <v/>
      </c>
      <c r="I73">
        <f>INDEX(Curve_Annuity!$D$2:$D$101,A73)</f>
        <v/>
      </c>
      <c r="J73">
        <f>H73*I73</f>
        <v/>
      </c>
    </row>
    <row r="74">
      <c r="A74" t="n">
        <v>56</v>
      </c>
      <c r="B74">
        <f>Inputs_Annuity!$C$2+A74</f>
        <v/>
      </c>
      <c r="C74">
        <f>$B$5+A74-1</f>
        <v/>
      </c>
      <c r="D74">
        <f>IF(C74&gt;=120,1,MIN(1,IF(A74&lt;=$B$6,IF($B$4="M",Inputs_Annuity!$C$13,Inputs_Annuity!$C$14),IF($B$4="M",Inputs_Annuity!$C$15,Inputs_Annuity!$C$16))*INDEX(ILT!$B$2:$C$122,MIN(C74,120)+1,IF($B$4="M",1,2))*(1-Inputs_Annuity!$C$17)^MAX(B74-Inputs_Annuity!$C$18,0)))</f>
        <v/>
      </c>
      <c r="E74">
        <f>E73*(1-D74)</f>
        <v/>
      </c>
      <c r="F74">
        <f>(E73+E74)/2</f>
        <v/>
      </c>
      <c r="G74">
        <f>G73*(1+IF(B74=Inputs_Annuity!$C$7,Inputs_Annuity!$C$8,Inputs_Annuity!$C$6))</f>
        <v/>
      </c>
      <c r="H74">
        <f>$B$7*G74*F74</f>
        <v/>
      </c>
      <c r="I74">
        <f>INDEX(Curve_Annuity!$D$2:$D$101,A74)</f>
        <v/>
      </c>
      <c r="J74">
        <f>H74*I74</f>
        <v/>
      </c>
    </row>
    <row r="75">
      <c r="A75" t="n">
        <v>57</v>
      </c>
      <c r="B75">
        <f>Inputs_Annuity!$C$2+A75</f>
        <v/>
      </c>
      <c r="C75">
        <f>$B$5+A75-1</f>
        <v/>
      </c>
      <c r="D75">
        <f>IF(C75&gt;=120,1,MIN(1,IF(A75&lt;=$B$6,IF($B$4="M",Inputs_Annuity!$C$13,Inputs_Annuity!$C$14),IF($B$4="M",Inputs_Annuity!$C$15,Inputs_Annuity!$C$16))*INDEX(ILT!$B$2:$C$122,MIN(C75,120)+1,IF($B$4="M",1,2))*(1-Inputs_Annuity!$C$17)^MAX(B75-Inputs_Annuity!$C$18,0)))</f>
        <v/>
      </c>
      <c r="E75">
        <f>E74*(1-D75)</f>
        <v/>
      </c>
      <c r="F75">
        <f>(E74+E75)/2</f>
        <v/>
      </c>
      <c r="G75">
        <f>G74*(1+IF(B75=Inputs_Annuity!$C$7,Inputs_Annuity!$C$8,Inputs_Annuity!$C$6))</f>
        <v/>
      </c>
      <c r="H75">
        <f>$B$7*G75*F75</f>
        <v/>
      </c>
      <c r="I75">
        <f>INDEX(Curve_Annuity!$D$2:$D$101,A75)</f>
        <v/>
      </c>
      <c r="J75">
        <f>H75*I75</f>
        <v/>
      </c>
    </row>
    <row r="76">
      <c r="A76" t="n">
        <v>58</v>
      </c>
      <c r="B76">
        <f>Inputs_Annuity!$C$2+A76</f>
        <v/>
      </c>
      <c r="C76">
        <f>$B$5+A76-1</f>
        <v/>
      </c>
      <c r="D76">
        <f>IF(C76&gt;=120,1,MIN(1,IF(A76&lt;=$B$6,IF($B$4="M",Inputs_Annuity!$C$13,Inputs_Annuity!$C$14),IF($B$4="M",Inputs_Annuity!$C$15,Inputs_Annuity!$C$16))*INDEX(ILT!$B$2:$C$122,MIN(C76,120)+1,IF($B$4="M",1,2))*(1-Inputs_Annuity!$C$17)^MAX(B76-Inputs_Annuity!$C$18,0)))</f>
        <v/>
      </c>
      <c r="E76">
        <f>E75*(1-D76)</f>
        <v/>
      </c>
      <c r="F76">
        <f>(E75+E76)/2</f>
        <v/>
      </c>
      <c r="G76">
        <f>G75*(1+IF(B76=Inputs_Annuity!$C$7,Inputs_Annuity!$C$8,Inputs_Annuity!$C$6))</f>
        <v/>
      </c>
      <c r="H76">
        <f>$B$7*G76*F76</f>
        <v/>
      </c>
      <c r="I76">
        <f>INDEX(Curve_Annuity!$D$2:$D$101,A76)</f>
        <v/>
      </c>
      <c r="J76">
        <f>H76*I76</f>
        <v/>
      </c>
    </row>
    <row r="77">
      <c r="A77" t="n">
        <v>59</v>
      </c>
      <c r="B77">
        <f>Inputs_Annuity!$C$2+A77</f>
        <v/>
      </c>
      <c r="C77">
        <f>$B$5+A77-1</f>
        <v/>
      </c>
      <c r="D77">
        <f>IF(C77&gt;=120,1,MIN(1,IF(A77&lt;=$B$6,IF($B$4="M",Inputs_Annuity!$C$13,Inputs_Annuity!$C$14),IF($B$4="M",Inputs_Annuity!$C$15,Inputs_Annuity!$C$16))*INDEX(ILT!$B$2:$C$122,MIN(C77,120)+1,IF($B$4="M",1,2))*(1-Inputs_Annuity!$C$17)^MAX(B77-Inputs_Annuity!$C$18,0)))</f>
        <v/>
      </c>
      <c r="E77">
        <f>E76*(1-D77)</f>
        <v/>
      </c>
      <c r="F77">
        <f>(E76+E77)/2</f>
        <v/>
      </c>
      <c r="G77">
        <f>G76*(1+IF(B77=Inputs_Annuity!$C$7,Inputs_Annuity!$C$8,Inputs_Annuity!$C$6))</f>
        <v/>
      </c>
      <c r="H77">
        <f>$B$7*G77*F77</f>
        <v/>
      </c>
      <c r="I77">
        <f>INDEX(Curve_Annuity!$D$2:$D$101,A77)</f>
        <v/>
      </c>
      <c r="J77">
        <f>H77*I77</f>
        <v/>
      </c>
    </row>
    <row r="78">
      <c r="A78" t="n">
        <v>60</v>
      </c>
      <c r="B78">
        <f>Inputs_Annuity!$C$2+A78</f>
        <v/>
      </c>
      <c r="C78">
        <f>$B$5+A78-1</f>
        <v/>
      </c>
      <c r="D78">
        <f>IF(C78&gt;=120,1,MIN(1,IF(A78&lt;=$B$6,IF($B$4="M",Inputs_Annuity!$C$13,Inputs_Annuity!$C$14),IF($B$4="M",Inputs_Annuity!$C$15,Inputs_Annuity!$C$16))*INDEX(ILT!$B$2:$C$122,MIN(C78,120)+1,IF($B$4="M",1,2))*(1-Inputs_Annuity!$C$17)^MAX(B78-Inputs_Annuity!$C$18,0)))</f>
        <v/>
      </c>
      <c r="E78">
        <f>E77*(1-D78)</f>
        <v/>
      </c>
      <c r="F78">
        <f>(E77+E78)/2</f>
        <v/>
      </c>
      <c r="G78">
        <f>G77*(1+IF(B78=Inputs_Annuity!$C$7,Inputs_Annuity!$C$8,Inputs_Annuity!$C$6))</f>
        <v/>
      </c>
      <c r="H78">
        <f>$B$7*G78*F78</f>
        <v/>
      </c>
      <c r="I78">
        <f>INDEX(Curve_Annuity!$D$2:$D$101,A78)</f>
        <v/>
      </c>
      <c r="J78">
        <f>H78*I78</f>
        <v/>
      </c>
    </row>
    <row r="79">
      <c r="A79" t="n">
        <v>61</v>
      </c>
      <c r="B79">
        <f>Inputs_Annuity!$C$2+A79</f>
        <v/>
      </c>
      <c r="C79">
        <f>$B$5+A79-1</f>
        <v/>
      </c>
      <c r="D79">
        <f>IF(C79&gt;=120,1,MIN(1,IF(A79&lt;=$B$6,IF($B$4="M",Inputs_Annuity!$C$13,Inputs_Annuity!$C$14),IF($B$4="M",Inputs_Annuity!$C$15,Inputs_Annuity!$C$16))*INDEX(ILT!$B$2:$C$122,MIN(C79,120)+1,IF($B$4="M",1,2))*(1-Inputs_Annuity!$C$17)^MAX(B79-Inputs_Annuity!$C$18,0)))</f>
        <v/>
      </c>
      <c r="E79">
        <f>E78*(1-D79)</f>
        <v/>
      </c>
      <c r="F79">
        <f>(E78+E79)/2</f>
        <v/>
      </c>
      <c r="G79">
        <f>G78*(1+IF(B79=Inputs_Annuity!$C$7,Inputs_Annuity!$C$8,Inputs_Annuity!$C$6))</f>
        <v/>
      </c>
      <c r="H79">
        <f>$B$7*G79*F79</f>
        <v/>
      </c>
      <c r="I79">
        <f>INDEX(Curve_Annuity!$D$2:$D$101,A79)</f>
        <v/>
      </c>
      <c r="J79">
        <f>H79*I79</f>
        <v/>
      </c>
    </row>
    <row r="80">
      <c r="A80" t="n">
        <v>62</v>
      </c>
      <c r="B80">
        <f>Inputs_Annuity!$C$2+A80</f>
        <v/>
      </c>
      <c r="C80">
        <f>$B$5+A80-1</f>
        <v/>
      </c>
      <c r="D80">
        <f>IF(C80&gt;=120,1,MIN(1,IF(A80&lt;=$B$6,IF($B$4="M",Inputs_Annuity!$C$13,Inputs_Annuity!$C$14),IF($B$4="M",Inputs_Annuity!$C$15,Inputs_Annuity!$C$16))*INDEX(ILT!$B$2:$C$122,MIN(C80,120)+1,IF($B$4="M",1,2))*(1-Inputs_Annuity!$C$17)^MAX(B80-Inputs_Annuity!$C$18,0)))</f>
        <v/>
      </c>
      <c r="E80">
        <f>E79*(1-D80)</f>
        <v/>
      </c>
      <c r="F80">
        <f>(E79+E80)/2</f>
        <v/>
      </c>
      <c r="G80">
        <f>G79*(1+IF(B80=Inputs_Annuity!$C$7,Inputs_Annuity!$C$8,Inputs_Annuity!$C$6))</f>
        <v/>
      </c>
      <c r="H80">
        <f>$B$7*G80*F80</f>
        <v/>
      </c>
      <c r="I80">
        <f>INDEX(Curve_Annuity!$D$2:$D$101,A80)</f>
        <v/>
      </c>
      <c r="J80">
        <f>H80*I80</f>
        <v/>
      </c>
    </row>
    <row r="81">
      <c r="A81" t="n">
        <v>63</v>
      </c>
      <c r="B81">
        <f>Inputs_Annuity!$C$2+A81</f>
        <v/>
      </c>
      <c r="C81">
        <f>$B$5+A81-1</f>
        <v/>
      </c>
      <c r="D81">
        <f>IF(C81&gt;=120,1,MIN(1,IF(A81&lt;=$B$6,IF($B$4="M",Inputs_Annuity!$C$13,Inputs_Annuity!$C$14),IF($B$4="M",Inputs_Annuity!$C$15,Inputs_Annuity!$C$16))*INDEX(ILT!$B$2:$C$122,MIN(C81,120)+1,IF($B$4="M",1,2))*(1-Inputs_Annuity!$C$17)^MAX(B81-Inputs_Annuity!$C$18,0)))</f>
        <v/>
      </c>
      <c r="E81">
        <f>E80*(1-D81)</f>
        <v/>
      </c>
      <c r="F81">
        <f>(E80+E81)/2</f>
        <v/>
      </c>
      <c r="G81">
        <f>G80*(1+IF(B81=Inputs_Annuity!$C$7,Inputs_Annuity!$C$8,Inputs_Annuity!$C$6))</f>
        <v/>
      </c>
      <c r="H81">
        <f>$B$7*G81*F81</f>
        <v/>
      </c>
      <c r="I81">
        <f>INDEX(Curve_Annuity!$D$2:$D$101,A81)</f>
        <v/>
      </c>
      <c r="J81">
        <f>H81*I81</f>
        <v/>
      </c>
    </row>
    <row r="82">
      <c r="A82" t="n">
        <v>64</v>
      </c>
      <c r="B82">
        <f>Inputs_Annuity!$C$2+A82</f>
        <v/>
      </c>
      <c r="C82">
        <f>$B$5+A82-1</f>
        <v/>
      </c>
      <c r="D82">
        <f>IF(C82&gt;=120,1,MIN(1,IF(A82&lt;=$B$6,IF($B$4="M",Inputs_Annuity!$C$13,Inputs_Annuity!$C$14),IF($B$4="M",Inputs_Annuity!$C$15,Inputs_Annuity!$C$16))*INDEX(ILT!$B$2:$C$122,MIN(C82,120)+1,IF($B$4="M",1,2))*(1-Inputs_Annuity!$C$17)^MAX(B82-Inputs_Annuity!$C$18,0)))</f>
        <v/>
      </c>
      <c r="E82">
        <f>E81*(1-D82)</f>
        <v/>
      </c>
      <c r="F82">
        <f>(E81+E82)/2</f>
        <v/>
      </c>
      <c r="G82">
        <f>G81*(1+IF(B82=Inputs_Annuity!$C$7,Inputs_Annuity!$C$8,Inputs_Annuity!$C$6))</f>
        <v/>
      </c>
      <c r="H82">
        <f>$B$7*G82*F82</f>
        <v/>
      </c>
      <c r="I82">
        <f>INDEX(Curve_Annuity!$D$2:$D$101,A82)</f>
        <v/>
      </c>
      <c r="J82">
        <f>H82*I82</f>
        <v/>
      </c>
    </row>
    <row r="83">
      <c r="A83" t="n">
        <v>65</v>
      </c>
      <c r="B83">
        <f>Inputs_Annuity!$C$2+A83</f>
        <v/>
      </c>
      <c r="C83">
        <f>$B$5+A83-1</f>
        <v/>
      </c>
      <c r="D83">
        <f>IF(C83&gt;=120,1,MIN(1,IF(A83&lt;=$B$6,IF($B$4="M",Inputs_Annuity!$C$13,Inputs_Annuity!$C$14),IF($B$4="M",Inputs_Annuity!$C$15,Inputs_Annuity!$C$16))*INDEX(ILT!$B$2:$C$122,MIN(C83,120)+1,IF($B$4="M",1,2))*(1-Inputs_Annuity!$C$17)^MAX(B83-Inputs_Annuity!$C$18,0)))</f>
        <v/>
      </c>
      <c r="E83">
        <f>E82*(1-D83)</f>
        <v/>
      </c>
      <c r="F83">
        <f>(E82+E83)/2</f>
        <v/>
      </c>
      <c r="G83">
        <f>G82*(1+IF(B83=Inputs_Annuity!$C$7,Inputs_Annuity!$C$8,Inputs_Annuity!$C$6))</f>
        <v/>
      </c>
      <c r="H83">
        <f>$B$7*G83*F83</f>
        <v/>
      </c>
      <c r="I83">
        <f>INDEX(Curve_Annuity!$D$2:$D$101,A83)</f>
        <v/>
      </c>
      <c r="J83">
        <f>H83*I83</f>
        <v/>
      </c>
    </row>
    <row r="84">
      <c r="A84" t="n">
        <v>66</v>
      </c>
      <c r="B84">
        <f>Inputs_Annuity!$C$2+A84</f>
        <v/>
      </c>
      <c r="C84">
        <f>$B$5+A84-1</f>
        <v/>
      </c>
      <c r="D84">
        <f>IF(C84&gt;=120,1,MIN(1,IF(A84&lt;=$B$6,IF($B$4="M",Inputs_Annuity!$C$13,Inputs_Annuity!$C$14),IF($B$4="M",Inputs_Annuity!$C$15,Inputs_Annuity!$C$16))*INDEX(ILT!$B$2:$C$122,MIN(C84,120)+1,IF($B$4="M",1,2))*(1-Inputs_Annuity!$C$17)^MAX(B84-Inputs_Annuity!$C$18,0)))</f>
        <v/>
      </c>
      <c r="E84">
        <f>E83*(1-D84)</f>
        <v/>
      </c>
      <c r="F84">
        <f>(E83+E84)/2</f>
        <v/>
      </c>
      <c r="G84">
        <f>G83*(1+IF(B84=Inputs_Annuity!$C$7,Inputs_Annuity!$C$8,Inputs_Annuity!$C$6))</f>
        <v/>
      </c>
      <c r="H84">
        <f>$B$7*G84*F84</f>
        <v/>
      </c>
      <c r="I84">
        <f>INDEX(Curve_Annuity!$D$2:$D$101,A84)</f>
        <v/>
      </c>
      <c r="J84">
        <f>H84*I84</f>
        <v/>
      </c>
    </row>
    <row r="85">
      <c r="A85" t="n">
        <v>67</v>
      </c>
      <c r="B85">
        <f>Inputs_Annuity!$C$2+A85</f>
        <v/>
      </c>
      <c r="C85">
        <f>$B$5+A85-1</f>
        <v/>
      </c>
      <c r="D85">
        <f>IF(C85&gt;=120,1,MIN(1,IF(A85&lt;=$B$6,IF($B$4="M",Inputs_Annuity!$C$13,Inputs_Annuity!$C$14),IF($B$4="M",Inputs_Annuity!$C$15,Inputs_Annuity!$C$16))*INDEX(ILT!$B$2:$C$122,MIN(C85,120)+1,IF($B$4="M",1,2))*(1-Inputs_Annuity!$C$17)^MAX(B85-Inputs_Annuity!$C$18,0)))</f>
        <v/>
      </c>
      <c r="E85">
        <f>E84*(1-D85)</f>
        <v/>
      </c>
      <c r="F85">
        <f>(E84+E85)/2</f>
        <v/>
      </c>
      <c r="G85">
        <f>G84*(1+IF(B85=Inputs_Annuity!$C$7,Inputs_Annuity!$C$8,Inputs_Annuity!$C$6))</f>
        <v/>
      </c>
      <c r="H85">
        <f>$B$7*G85*F85</f>
        <v/>
      </c>
      <c r="I85">
        <f>INDEX(Curve_Annuity!$D$2:$D$101,A85)</f>
        <v/>
      </c>
      <c r="J85">
        <f>H85*I85</f>
        <v/>
      </c>
    </row>
    <row r="86">
      <c r="A86" t="n">
        <v>68</v>
      </c>
      <c r="B86">
        <f>Inputs_Annuity!$C$2+A86</f>
        <v/>
      </c>
      <c r="C86">
        <f>$B$5+A86-1</f>
        <v/>
      </c>
      <c r="D86">
        <f>IF(C86&gt;=120,1,MIN(1,IF(A86&lt;=$B$6,IF($B$4="M",Inputs_Annuity!$C$13,Inputs_Annuity!$C$14),IF($B$4="M",Inputs_Annuity!$C$15,Inputs_Annuity!$C$16))*INDEX(ILT!$B$2:$C$122,MIN(C86,120)+1,IF($B$4="M",1,2))*(1-Inputs_Annuity!$C$17)^MAX(B86-Inputs_Annuity!$C$18,0)))</f>
        <v/>
      </c>
      <c r="E86">
        <f>E85*(1-D86)</f>
        <v/>
      </c>
      <c r="F86">
        <f>(E85+E86)/2</f>
        <v/>
      </c>
      <c r="G86">
        <f>G85*(1+IF(B86=Inputs_Annuity!$C$7,Inputs_Annuity!$C$8,Inputs_Annuity!$C$6))</f>
        <v/>
      </c>
      <c r="H86">
        <f>$B$7*G86*F86</f>
        <v/>
      </c>
      <c r="I86">
        <f>INDEX(Curve_Annuity!$D$2:$D$101,A86)</f>
        <v/>
      </c>
      <c r="J86">
        <f>H86*I86</f>
        <v/>
      </c>
    </row>
    <row r="87">
      <c r="A87" t="n">
        <v>69</v>
      </c>
      <c r="B87">
        <f>Inputs_Annuity!$C$2+A87</f>
        <v/>
      </c>
      <c r="C87">
        <f>$B$5+A87-1</f>
        <v/>
      </c>
      <c r="D87">
        <f>IF(C87&gt;=120,1,MIN(1,IF(A87&lt;=$B$6,IF($B$4="M",Inputs_Annuity!$C$13,Inputs_Annuity!$C$14),IF($B$4="M",Inputs_Annuity!$C$15,Inputs_Annuity!$C$16))*INDEX(ILT!$B$2:$C$122,MIN(C87,120)+1,IF($B$4="M",1,2))*(1-Inputs_Annuity!$C$17)^MAX(B87-Inputs_Annuity!$C$18,0)))</f>
        <v/>
      </c>
      <c r="E87">
        <f>E86*(1-D87)</f>
        <v/>
      </c>
      <c r="F87">
        <f>(E86+E87)/2</f>
        <v/>
      </c>
      <c r="G87">
        <f>G86*(1+IF(B87=Inputs_Annuity!$C$7,Inputs_Annuity!$C$8,Inputs_Annuity!$C$6))</f>
        <v/>
      </c>
      <c r="H87">
        <f>$B$7*G87*F87</f>
        <v/>
      </c>
      <c r="I87">
        <f>INDEX(Curve_Annuity!$D$2:$D$101,A87)</f>
        <v/>
      </c>
      <c r="J87">
        <f>H87*I87</f>
        <v/>
      </c>
    </row>
    <row r="88">
      <c r="A88" t="n">
        <v>70</v>
      </c>
      <c r="B88">
        <f>Inputs_Annuity!$C$2+A88</f>
        <v/>
      </c>
      <c r="C88">
        <f>$B$5+A88-1</f>
        <v/>
      </c>
      <c r="D88">
        <f>IF(C88&gt;=120,1,MIN(1,IF(A88&lt;=$B$6,IF($B$4="M",Inputs_Annuity!$C$13,Inputs_Annuity!$C$14),IF($B$4="M",Inputs_Annuity!$C$15,Inputs_Annuity!$C$16))*INDEX(ILT!$B$2:$C$122,MIN(C88,120)+1,IF($B$4="M",1,2))*(1-Inputs_Annuity!$C$17)^MAX(B88-Inputs_Annuity!$C$18,0)))</f>
        <v/>
      </c>
      <c r="E88">
        <f>E87*(1-D88)</f>
        <v/>
      </c>
      <c r="F88">
        <f>(E87+E88)/2</f>
        <v/>
      </c>
      <c r="G88">
        <f>G87*(1+IF(B88=Inputs_Annuity!$C$7,Inputs_Annuity!$C$8,Inputs_Annuity!$C$6))</f>
        <v/>
      </c>
      <c r="H88">
        <f>$B$7*G88*F88</f>
        <v/>
      </c>
      <c r="I88">
        <f>INDEX(Curve_Annuity!$D$2:$D$101,A88)</f>
        <v/>
      </c>
      <c r="J88">
        <f>H88*I88</f>
        <v/>
      </c>
    </row>
    <row r="89">
      <c r="A89" t="n">
        <v>71</v>
      </c>
      <c r="B89">
        <f>Inputs_Annuity!$C$2+A89</f>
        <v/>
      </c>
      <c r="C89">
        <f>$B$5+A89-1</f>
        <v/>
      </c>
      <c r="D89">
        <f>IF(C89&gt;=120,1,MIN(1,IF(A89&lt;=$B$6,IF($B$4="M",Inputs_Annuity!$C$13,Inputs_Annuity!$C$14),IF($B$4="M",Inputs_Annuity!$C$15,Inputs_Annuity!$C$16))*INDEX(ILT!$B$2:$C$122,MIN(C89,120)+1,IF($B$4="M",1,2))*(1-Inputs_Annuity!$C$17)^MAX(B89-Inputs_Annuity!$C$18,0)))</f>
        <v/>
      </c>
      <c r="E89">
        <f>E88*(1-D89)</f>
        <v/>
      </c>
      <c r="F89">
        <f>(E88+E89)/2</f>
        <v/>
      </c>
      <c r="G89">
        <f>G88*(1+IF(B89=Inputs_Annuity!$C$7,Inputs_Annuity!$C$8,Inputs_Annuity!$C$6))</f>
        <v/>
      </c>
      <c r="H89">
        <f>$B$7*G89*F89</f>
        <v/>
      </c>
      <c r="I89">
        <f>INDEX(Curve_Annuity!$D$2:$D$101,A89)</f>
        <v/>
      </c>
      <c r="J89">
        <f>H89*I89</f>
        <v/>
      </c>
    </row>
    <row r="90">
      <c r="A90" t="n">
        <v>72</v>
      </c>
      <c r="B90">
        <f>Inputs_Annuity!$C$2+A90</f>
        <v/>
      </c>
      <c r="C90">
        <f>$B$5+A90-1</f>
        <v/>
      </c>
      <c r="D90">
        <f>IF(C90&gt;=120,1,MIN(1,IF(A90&lt;=$B$6,IF($B$4="M",Inputs_Annuity!$C$13,Inputs_Annuity!$C$14),IF($B$4="M",Inputs_Annuity!$C$15,Inputs_Annuity!$C$16))*INDEX(ILT!$B$2:$C$122,MIN(C90,120)+1,IF($B$4="M",1,2))*(1-Inputs_Annuity!$C$17)^MAX(B90-Inputs_Annuity!$C$18,0)))</f>
        <v/>
      </c>
      <c r="E90">
        <f>E89*(1-D90)</f>
        <v/>
      </c>
      <c r="F90">
        <f>(E89+E90)/2</f>
        <v/>
      </c>
      <c r="G90">
        <f>G89*(1+IF(B90=Inputs_Annuity!$C$7,Inputs_Annuity!$C$8,Inputs_Annuity!$C$6))</f>
        <v/>
      </c>
      <c r="H90">
        <f>$B$7*G90*F90</f>
        <v/>
      </c>
      <c r="I90">
        <f>INDEX(Curve_Annuity!$D$2:$D$101,A90)</f>
        <v/>
      </c>
      <c r="J90">
        <f>H90*I90</f>
        <v/>
      </c>
    </row>
    <row r="91">
      <c r="A91" t="n">
        <v>73</v>
      </c>
      <c r="B91">
        <f>Inputs_Annuity!$C$2+A91</f>
        <v/>
      </c>
      <c r="C91">
        <f>$B$5+A91-1</f>
        <v/>
      </c>
      <c r="D91">
        <f>IF(C91&gt;=120,1,MIN(1,IF(A91&lt;=$B$6,IF($B$4="M",Inputs_Annuity!$C$13,Inputs_Annuity!$C$14),IF($B$4="M",Inputs_Annuity!$C$15,Inputs_Annuity!$C$16))*INDEX(ILT!$B$2:$C$122,MIN(C91,120)+1,IF($B$4="M",1,2))*(1-Inputs_Annuity!$C$17)^MAX(B91-Inputs_Annuity!$C$18,0)))</f>
        <v/>
      </c>
      <c r="E91">
        <f>E90*(1-D91)</f>
        <v/>
      </c>
      <c r="F91">
        <f>(E90+E91)/2</f>
        <v/>
      </c>
      <c r="G91">
        <f>G90*(1+IF(B91=Inputs_Annuity!$C$7,Inputs_Annuity!$C$8,Inputs_Annuity!$C$6))</f>
        <v/>
      </c>
      <c r="H91">
        <f>$B$7*G91*F91</f>
        <v/>
      </c>
      <c r="I91">
        <f>INDEX(Curve_Annuity!$D$2:$D$101,A91)</f>
        <v/>
      </c>
      <c r="J91">
        <f>H91*I91</f>
        <v/>
      </c>
    </row>
    <row r="92">
      <c r="A92" t="n">
        <v>74</v>
      </c>
      <c r="B92">
        <f>Inputs_Annuity!$C$2+A92</f>
        <v/>
      </c>
      <c r="C92">
        <f>$B$5+A92-1</f>
        <v/>
      </c>
      <c r="D92">
        <f>IF(C92&gt;=120,1,MIN(1,IF(A92&lt;=$B$6,IF($B$4="M",Inputs_Annuity!$C$13,Inputs_Annuity!$C$14),IF($B$4="M",Inputs_Annuity!$C$15,Inputs_Annuity!$C$16))*INDEX(ILT!$B$2:$C$122,MIN(C92,120)+1,IF($B$4="M",1,2))*(1-Inputs_Annuity!$C$17)^MAX(B92-Inputs_Annuity!$C$18,0)))</f>
        <v/>
      </c>
      <c r="E92">
        <f>E91*(1-D92)</f>
        <v/>
      </c>
      <c r="F92">
        <f>(E91+E92)/2</f>
        <v/>
      </c>
      <c r="G92">
        <f>G91*(1+IF(B92=Inputs_Annuity!$C$7,Inputs_Annuity!$C$8,Inputs_Annuity!$C$6))</f>
        <v/>
      </c>
      <c r="H92">
        <f>$B$7*G92*F92</f>
        <v/>
      </c>
      <c r="I92">
        <f>INDEX(Curve_Annuity!$D$2:$D$101,A92)</f>
        <v/>
      </c>
      <c r="J92">
        <f>H92*I92</f>
        <v/>
      </c>
    </row>
    <row r="93">
      <c r="A93" t="n">
        <v>75</v>
      </c>
      <c r="B93">
        <f>Inputs_Annuity!$C$2+A93</f>
        <v/>
      </c>
      <c r="C93">
        <f>$B$5+A93-1</f>
        <v/>
      </c>
      <c r="D93">
        <f>IF(C93&gt;=120,1,MIN(1,IF(A93&lt;=$B$6,IF($B$4="M",Inputs_Annuity!$C$13,Inputs_Annuity!$C$14),IF($B$4="M",Inputs_Annuity!$C$15,Inputs_Annuity!$C$16))*INDEX(ILT!$B$2:$C$122,MIN(C93,120)+1,IF($B$4="M",1,2))*(1-Inputs_Annuity!$C$17)^MAX(B93-Inputs_Annuity!$C$18,0)))</f>
        <v/>
      </c>
      <c r="E93">
        <f>E92*(1-D93)</f>
        <v/>
      </c>
      <c r="F93">
        <f>(E92+E93)/2</f>
        <v/>
      </c>
      <c r="G93">
        <f>G92*(1+IF(B93=Inputs_Annuity!$C$7,Inputs_Annuity!$C$8,Inputs_Annuity!$C$6))</f>
        <v/>
      </c>
      <c r="H93">
        <f>$B$7*G93*F93</f>
        <v/>
      </c>
      <c r="I93">
        <f>INDEX(Curve_Annuity!$D$2:$D$101,A93)</f>
        <v/>
      </c>
      <c r="J93">
        <f>H93*I93</f>
        <v/>
      </c>
    </row>
    <row r="94">
      <c r="A94" t="n">
        <v>76</v>
      </c>
      <c r="B94">
        <f>Inputs_Annuity!$C$2+A94</f>
        <v/>
      </c>
      <c r="C94">
        <f>$B$5+A94-1</f>
        <v/>
      </c>
      <c r="D94">
        <f>IF(C94&gt;=120,1,MIN(1,IF(A94&lt;=$B$6,IF($B$4="M",Inputs_Annuity!$C$13,Inputs_Annuity!$C$14),IF($B$4="M",Inputs_Annuity!$C$15,Inputs_Annuity!$C$16))*INDEX(ILT!$B$2:$C$122,MIN(C94,120)+1,IF($B$4="M",1,2))*(1-Inputs_Annuity!$C$17)^MAX(B94-Inputs_Annuity!$C$18,0)))</f>
        <v/>
      </c>
      <c r="E94">
        <f>E93*(1-D94)</f>
        <v/>
      </c>
      <c r="F94">
        <f>(E93+E94)/2</f>
        <v/>
      </c>
      <c r="G94">
        <f>G93*(1+IF(B94=Inputs_Annuity!$C$7,Inputs_Annuity!$C$8,Inputs_Annuity!$C$6))</f>
        <v/>
      </c>
      <c r="H94">
        <f>$B$7*G94*F94</f>
        <v/>
      </c>
      <c r="I94">
        <f>INDEX(Curve_Annuity!$D$2:$D$101,A94)</f>
        <v/>
      </c>
      <c r="J94">
        <f>H94*I94</f>
        <v/>
      </c>
    </row>
    <row r="95">
      <c r="A95" t="n">
        <v>77</v>
      </c>
      <c r="B95">
        <f>Inputs_Annuity!$C$2+A95</f>
        <v/>
      </c>
      <c r="C95">
        <f>$B$5+A95-1</f>
        <v/>
      </c>
      <c r="D95">
        <f>IF(C95&gt;=120,1,MIN(1,IF(A95&lt;=$B$6,IF($B$4="M",Inputs_Annuity!$C$13,Inputs_Annuity!$C$14),IF($B$4="M",Inputs_Annuity!$C$15,Inputs_Annuity!$C$16))*INDEX(ILT!$B$2:$C$122,MIN(C95,120)+1,IF($B$4="M",1,2))*(1-Inputs_Annuity!$C$17)^MAX(B95-Inputs_Annuity!$C$18,0)))</f>
        <v/>
      </c>
      <c r="E95">
        <f>E94*(1-D95)</f>
        <v/>
      </c>
      <c r="F95">
        <f>(E94+E95)/2</f>
        <v/>
      </c>
      <c r="G95">
        <f>G94*(1+IF(B95=Inputs_Annuity!$C$7,Inputs_Annuity!$C$8,Inputs_Annuity!$C$6))</f>
        <v/>
      </c>
      <c r="H95">
        <f>$B$7*G95*F95</f>
        <v/>
      </c>
      <c r="I95">
        <f>INDEX(Curve_Annuity!$D$2:$D$101,A95)</f>
        <v/>
      </c>
      <c r="J95">
        <f>H95*I95</f>
        <v/>
      </c>
    </row>
    <row r="96">
      <c r="A96" t="n">
        <v>78</v>
      </c>
      <c r="B96">
        <f>Inputs_Annuity!$C$2+A96</f>
        <v/>
      </c>
      <c r="C96">
        <f>$B$5+A96-1</f>
        <v/>
      </c>
      <c r="D96">
        <f>IF(C96&gt;=120,1,MIN(1,IF(A96&lt;=$B$6,IF($B$4="M",Inputs_Annuity!$C$13,Inputs_Annuity!$C$14),IF($B$4="M",Inputs_Annuity!$C$15,Inputs_Annuity!$C$16))*INDEX(ILT!$B$2:$C$122,MIN(C96,120)+1,IF($B$4="M",1,2))*(1-Inputs_Annuity!$C$17)^MAX(B96-Inputs_Annuity!$C$18,0)))</f>
        <v/>
      </c>
      <c r="E96">
        <f>E95*(1-D96)</f>
        <v/>
      </c>
      <c r="F96">
        <f>(E95+E96)/2</f>
        <v/>
      </c>
      <c r="G96">
        <f>G95*(1+IF(B96=Inputs_Annuity!$C$7,Inputs_Annuity!$C$8,Inputs_Annuity!$C$6))</f>
        <v/>
      </c>
      <c r="H96">
        <f>$B$7*G96*F96</f>
        <v/>
      </c>
      <c r="I96">
        <f>INDEX(Curve_Annuity!$D$2:$D$101,A96)</f>
        <v/>
      </c>
      <c r="J96">
        <f>H96*I96</f>
        <v/>
      </c>
    </row>
    <row r="97">
      <c r="A97" t="n">
        <v>79</v>
      </c>
      <c r="B97">
        <f>Inputs_Annuity!$C$2+A97</f>
        <v/>
      </c>
      <c r="C97">
        <f>$B$5+A97-1</f>
        <v/>
      </c>
      <c r="D97">
        <f>IF(C97&gt;=120,1,MIN(1,IF(A97&lt;=$B$6,IF($B$4="M",Inputs_Annuity!$C$13,Inputs_Annuity!$C$14),IF($B$4="M",Inputs_Annuity!$C$15,Inputs_Annuity!$C$16))*INDEX(ILT!$B$2:$C$122,MIN(C97,120)+1,IF($B$4="M",1,2))*(1-Inputs_Annuity!$C$17)^MAX(B97-Inputs_Annuity!$C$18,0)))</f>
        <v/>
      </c>
      <c r="E97">
        <f>E96*(1-D97)</f>
        <v/>
      </c>
      <c r="F97">
        <f>(E96+E97)/2</f>
        <v/>
      </c>
      <c r="G97">
        <f>G96*(1+IF(B97=Inputs_Annuity!$C$7,Inputs_Annuity!$C$8,Inputs_Annuity!$C$6))</f>
        <v/>
      </c>
      <c r="H97">
        <f>$B$7*G97*F97</f>
        <v/>
      </c>
      <c r="I97">
        <f>INDEX(Curve_Annuity!$D$2:$D$101,A97)</f>
        <v/>
      </c>
      <c r="J97">
        <f>H97*I97</f>
        <v/>
      </c>
    </row>
    <row r="98">
      <c r="A98" t="n">
        <v>80</v>
      </c>
      <c r="B98">
        <f>Inputs_Annuity!$C$2+A98</f>
        <v/>
      </c>
      <c r="C98">
        <f>$B$5+A98-1</f>
        <v/>
      </c>
      <c r="D98">
        <f>IF(C98&gt;=120,1,MIN(1,IF(A98&lt;=$B$6,IF($B$4="M",Inputs_Annuity!$C$13,Inputs_Annuity!$C$14),IF($B$4="M",Inputs_Annuity!$C$15,Inputs_Annuity!$C$16))*INDEX(ILT!$B$2:$C$122,MIN(C98,120)+1,IF($B$4="M",1,2))*(1-Inputs_Annuity!$C$17)^MAX(B98-Inputs_Annuity!$C$18,0)))</f>
        <v/>
      </c>
      <c r="E98">
        <f>E97*(1-D98)</f>
        <v/>
      </c>
      <c r="F98">
        <f>(E97+E98)/2</f>
        <v/>
      </c>
      <c r="G98">
        <f>G97*(1+IF(B98=Inputs_Annuity!$C$7,Inputs_Annuity!$C$8,Inputs_Annuity!$C$6))</f>
        <v/>
      </c>
      <c r="H98">
        <f>$B$7*G98*F98</f>
        <v/>
      </c>
      <c r="I98">
        <f>INDEX(Curve_Annuity!$D$2:$D$101,A98)</f>
        <v/>
      </c>
      <c r="J98">
        <f>H98*I98</f>
        <v/>
      </c>
    </row>
    <row r="99">
      <c r="A99" t="n">
        <v>81</v>
      </c>
      <c r="B99">
        <f>Inputs_Annuity!$C$2+A99</f>
        <v/>
      </c>
      <c r="C99">
        <f>$B$5+A99-1</f>
        <v/>
      </c>
      <c r="D99">
        <f>IF(C99&gt;=120,1,MIN(1,IF(A99&lt;=$B$6,IF($B$4="M",Inputs_Annuity!$C$13,Inputs_Annuity!$C$14),IF($B$4="M",Inputs_Annuity!$C$15,Inputs_Annuity!$C$16))*INDEX(ILT!$B$2:$C$122,MIN(C99,120)+1,IF($B$4="M",1,2))*(1-Inputs_Annuity!$C$17)^MAX(B99-Inputs_Annuity!$C$18,0)))</f>
        <v/>
      </c>
      <c r="E99">
        <f>E98*(1-D99)</f>
        <v/>
      </c>
      <c r="F99">
        <f>(E98+E99)/2</f>
        <v/>
      </c>
      <c r="G99">
        <f>G98*(1+IF(B99=Inputs_Annuity!$C$7,Inputs_Annuity!$C$8,Inputs_Annuity!$C$6))</f>
        <v/>
      </c>
      <c r="H99">
        <f>$B$7*G99*F99</f>
        <v/>
      </c>
      <c r="I99">
        <f>INDEX(Curve_Annuity!$D$2:$D$101,A99)</f>
        <v/>
      </c>
      <c r="J99">
        <f>H99*I99</f>
        <v/>
      </c>
    </row>
    <row r="100">
      <c r="A100" t="n">
        <v>82</v>
      </c>
      <c r="B100">
        <f>Inputs_Annuity!$C$2+A100</f>
        <v/>
      </c>
      <c r="C100">
        <f>$B$5+A100-1</f>
        <v/>
      </c>
      <c r="D100">
        <f>IF(C100&gt;=120,1,MIN(1,IF(A100&lt;=$B$6,IF($B$4="M",Inputs_Annuity!$C$13,Inputs_Annuity!$C$14),IF($B$4="M",Inputs_Annuity!$C$15,Inputs_Annuity!$C$16))*INDEX(ILT!$B$2:$C$122,MIN(C100,120)+1,IF($B$4="M",1,2))*(1-Inputs_Annuity!$C$17)^MAX(B100-Inputs_Annuity!$C$18,0)))</f>
        <v/>
      </c>
      <c r="E100">
        <f>E99*(1-D100)</f>
        <v/>
      </c>
      <c r="F100">
        <f>(E99+E100)/2</f>
        <v/>
      </c>
      <c r="G100">
        <f>G99*(1+IF(B100=Inputs_Annuity!$C$7,Inputs_Annuity!$C$8,Inputs_Annuity!$C$6))</f>
        <v/>
      </c>
      <c r="H100">
        <f>$B$7*G100*F100</f>
        <v/>
      </c>
      <c r="I100">
        <f>INDEX(Curve_Annuity!$D$2:$D$101,A100)</f>
        <v/>
      </c>
      <c r="J100">
        <f>H100*I100</f>
        <v/>
      </c>
    </row>
    <row r="101">
      <c r="A101" t="n">
        <v>83</v>
      </c>
      <c r="B101">
        <f>Inputs_Annuity!$C$2+A101</f>
        <v/>
      </c>
      <c r="C101">
        <f>$B$5+A101-1</f>
        <v/>
      </c>
      <c r="D101">
        <f>IF(C101&gt;=120,1,MIN(1,IF(A101&lt;=$B$6,IF($B$4="M",Inputs_Annuity!$C$13,Inputs_Annuity!$C$14),IF($B$4="M",Inputs_Annuity!$C$15,Inputs_Annuity!$C$16))*INDEX(ILT!$B$2:$C$122,MIN(C101,120)+1,IF($B$4="M",1,2))*(1-Inputs_Annuity!$C$17)^MAX(B101-Inputs_Annuity!$C$18,0)))</f>
        <v/>
      </c>
      <c r="E101">
        <f>E100*(1-D101)</f>
        <v/>
      </c>
      <c r="F101">
        <f>(E100+E101)/2</f>
        <v/>
      </c>
      <c r="G101">
        <f>G100*(1+IF(B101=Inputs_Annuity!$C$7,Inputs_Annuity!$C$8,Inputs_Annuity!$C$6))</f>
        <v/>
      </c>
      <c r="H101">
        <f>$B$7*G101*F101</f>
        <v/>
      </c>
      <c r="I101">
        <f>INDEX(Curve_Annuity!$D$2:$D$101,A101)</f>
        <v/>
      </c>
      <c r="J101">
        <f>H101*I101</f>
        <v/>
      </c>
    </row>
    <row r="102">
      <c r="A102" t="n">
        <v>84</v>
      </c>
      <c r="B102">
        <f>Inputs_Annuity!$C$2+A102</f>
        <v/>
      </c>
      <c r="C102">
        <f>$B$5+A102-1</f>
        <v/>
      </c>
      <c r="D102">
        <f>IF(C102&gt;=120,1,MIN(1,IF(A102&lt;=$B$6,IF($B$4="M",Inputs_Annuity!$C$13,Inputs_Annuity!$C$14),IF($B$4="M",Inputs_Annuity!$C$15,Inputs_Annuity!$C$16))*INDEX(ILT!$B$2:$C$122,MIN(C102,120)+1,IF($B$4="M",1,2))*(1-Inputs_Annuity!$C$17)^MAX(B102-Inputs_Annuity!$C$18,0)))</f>
        <v/>
      </c>
      <c r="E102">
        <f>E101*(1-D102)</f>
        <v/>
      </c>
      <c r="F102">
        <f>(E101+E102)/2</f>
        <v/>
      </c>
      <c r="G102">
        <f>G101*(1+IF(B102=Inputs_Annuity!$C$7,Inputs_Annuity!$C$8,Inputs_Annuity!$C$6))</f>
        <v/>
      </c>
      <c r="H102">
        <f>$B$7*G102*F102</f>
        <v/>
      </c>
      <c r="I102">
        <f>INDEX(Curve_Annuity!$D$2:$D$101,A102)</f>
        <v/>
      </c>
      <c r="J102">
        <f>H102*I102</f>
        <v/>
      </c>
    </row>
    <row r="103">
      <c r="A103" t="n">
        <v>85</v>
      </c>
      <c r="B103">
        <f>Inputs_Annuity!$C$2+A103</f>
        <v/>
      </c>
      <c r="C103">
        <f>$B$5+A103-1</f>
        <v/>
      </c>
      <c r="D103">
        <f>IF(C103&gt;=120,1,MIN(1,IF(A103&lt;=$B$6,IF($B$4="M",Inputs_Annuity!$C$13,Inputs_Annuity!$C$14),IF($B$4="M",Inputs_Annuity!$C$15,Inputs_Annuity!$C$16))*INDEX(ILT!$B$2:$C$122,MIN(C103,120)+1,IF($B$4="M",1,2))*(1-Inputs_Annuity!$C$17)^MAX(B103-Inputs_Annuity!$C$18,0)))</f>
        <v/>
      </c>
      <c r="E103">
        <f>E102*(1-D103)</f>
        <v/>
      </c>
      <c r="F103">
        <f>(E102+E103)/2</f>
        <v/>
      </c>
      <c r="G103">
        <f>G102*(1+IF(B103=Inputs_Annuity!$C$7,Inputs_Annuity!$C$8,Inputs_Annuity!$C$6))</f>
        <v/>
      </c>
      <c r="H103">
        <f>$B$7*G103*F103</f>
        <v/>
      </c>
      <c r="I103">
        <f>INDEX(Curve_Annuity!$D$2:$D$101,A103)</f>
        <v/>
      </c>
      <c r="J103">
        <f>H103*I103</f>
        <v/>
      </c>
    </row>
    <row r="104">
      <c r="A104" t="n">
        <v>86</v>
      </c>
      <c r="B104">
        <f>Inputs_Annuity!$C$2+A104</f>
        <v/>
      </c>
      <c r="C104">
        <f>$B$5+A104-1</f>
        <v/>
      </c>
      <c r="D104">
        <f>IF(C104&gt;=120,1,MIN(1,IF(A104&lt;=$B$6,IF($B$4="M",Inputs_Annuity!$C$13,Inputs_Annuity!$C$14),IF($B$4="M",Inputs_Annuity!$C$15,Inputs_Annuity!$C$16))*INDEX(ILT!$B$2:$C$122,MIN(C104,120)+1,IF($B$4="M",1,2))*(1-Inputs_Annuity!$C$17)^MAX(B104-Inputs_Annuity!$C$18,0)))</f>
        <v/>
      </c>
      <c r="E104">
        <f>E103*(1-D104)</f>
        <v/>
      </c>
      <c r="F104">
        <f>(E103+E104)/2</f>
        <v/>
      </c>
      <c r="G104">
        <f>G103*(1+IF(B104=Inputs_Annuity!$C$7,Inputs_Annuity!$C$8,Inputs_Annuity!$C$6))</f>
        <v/>
      </c>
      <c r="H104">
        <f>$B$7*G104*F104</f>
        <v/>
      </c>
      <c r="I104">
        <f>INDEX(Curve_Annuity!$D$2:$D$101,A104)</f>
        <v/>
      </c>
      <c r="J104">
        <f>H104*I104</f>
        <v/>
      </c>
    </row>
    <row r="105">
      <c r="A105" t="n">
        <v>87</v>
      </c>
      <c r="B105">
        <f>Inputs_Annuity!$C$2+A105</f>
        <v/>
      </c>
      <c r="C105">
        <f>$B$5+A105-1</f>
        <v/>
      </c>
      <c r="D105">
        <f>IF(C105&gt;=120,1,MIN(1,IF(A105&lt;=$B$6,IF($B$4="M",Inputs_Annuity!$C$13,Inputs_Annuity!$C$14),IF($B$4="M",Inputs_Annuity!$C$15,Inputs_Annuity!$C$16))*INDEX(ILT!$B$2:$C$122,MIN(C105,120)+1,IF($B$4="M",1,2))*(1-Inputs_Annuity!$C$17)^MAX(B105-Inputs_Annuity!$C$18,0)))</f>
        <v/>
      </c>
      <c r="E105">
        <f>E104*(1-D105)</f>
        <v/>
      </c>
      <c r="F105">
        <f>(E104+E105)/2</f>
        <v/>
      </c>
      <c r="G105">
        <f>G104*(1+IF(B105=Inputs_Annuity!$C$7,Inputs_Annuity!$C$8,Inputs_Annuity!$C$6))</f>
        <v/>
      </c>
      <c r="H105">
        <f>$B$7*G105*F105</f>
        <v/>
      </c>
      <c r="I105">
        <f>INDEX(Curve_Annuity!$D$2:$D$101,A105)</f>
        <v/>
      </c>
      <c r="J105">
        <f>H105*I105</f>
        <v/>
      </c>
    </row>
    <row r="106">
      <c r="A106" t="n">
        <v>88</v>
      </c>
      <c r="B106">
        <f>Inputs_Annuity!$C$2+A106</f>
        <v/>
      </c>
      <c r="C106">
        <f>$B$5+A106-1</f>
        <v/>
      </c>
      <c r="D106">
        <f>IF(C106&gt;=120,1,MIN(1,IF(A106&lt;=$B$6,IF($B$4="M",Inputs_Annuity!$C$13,Inputs_Annuity!$C$14),IF($B$4="M",Inputs_Annuity!$C$15,Inputs_Annuity!$C$16))*INDEX(ILT!$B$2:$C$122,MIN(C106,120)+1,IF($B$4="M",1,2))*(1-Inputs_Annuity!$C$17)^MAX(B106-Inputs_Annuity!$C$18,0)))</f>
        <v/>
      </c>
      <c r="E106">
        <f>E105*(1-D106)</f>
        <v/>
      </c>
      <c r="F106">
        <f>(E105+E106)/2</f>
        <v/>
      </c>
      <c r="G106">
        <f>G105*(1+IF(B106=Inputs_Annuity!$C$7,Inputs_Annuity!$C$8,Inputs_Annuity!$C$6))</f>
        <v/>
      </c>
      <c r="H106">
        <f>$B$7*G106*F106</f>
        <v/>
      </c>
      <c r="I106">
        <f>INDEX(Curve_Annuity!$D$2:$D$101,A106)</f>
        <v/>
      </c>
      <c r="J106">
        <f>H106*I106</f>
        <v/>
      </c>
    </row>
    <row r="107">
      <c r="A107" t="n">
        <v>89</v>
      </c>
      <c r="B107">
        <f>Inputs_Annuity!$C$2+A107</f>
        <v/>
      </c>
      <c r="C107">
        <f>$B$5+A107-1</f>
        <v/>
      </c>
      <c r="D107">
        <f>IF(C107&gt;=120,1,MIN(1,IF(A107&lt;=$B$6,IF($B$4="M",Inputs_Annuity!$C$13,Inputs_Annuity!$C$14),IF($B$4="M",Inputs_Annuity!$C$15,Inputs_Annuity!$C$16))*INDEX(ILT!$B$2:$C$122,MIN(C107,120)+1,IF($B$4="M",1,2))*(1-Inputs_Annuity!$C$17)^MAX(B107-Inputs_Annuity!$C$18,0)))</f>
        <v/>
      </c>
      <c r="E107">
        <f>E106*(1-D107)</f>
        <v/>
      </c>
      <c r="F107">
        <f>(E106+E107)/2</f>
        <v/>
      </c>
      <c r="G107">
        <f>G106*(1+IF(B107=Inputs_Annuity!$C$7,Inputs_Annuity!$C$8,Inputs_Annuity!$C$6))</f>
        <v/>
      </c>
      <c r="H107">
        <f>$B$7*G107*F107</f>
        <v/>
      </c>
      <c r="I107">
        <f>INDEX(Curve_Annuity!$D$2:$D$101,A107)</f>
        <v/>
      </c>
      <c r="J107">
        <f>H107*I107</f>
        <v/>
      </c>
    </row>
    <row r="108">
      <c r="A108" t="n">
        <v>90</v>
      </c>
      <c r="B108">
        <f>Inputs_Annuity!$C$2+A108</f>
        <v/>
      </c>
      <c r="C108">
        <f>$B$5+A108-1</f>
        <v/>
      </c>
      <c r="D108">
        <f>IF(C108&gt;=120,1,MIN(1,IF(A108&lt;=$B$6,IF($B$4="M",Inputs_Annuity!$C$13,Inputs_Annuity!$C$14),IF($B$4="M",Inputs_Annuity!$C$15,Inputs_Annuity!$C$16))*INDEX(ILT!$B$2:$C$122,MIN(C108,120)+1,IF($B$4="M",1,2))*(1-Inputs_Annuity!$C$17)^MAX(B108-Inputs_Annuity!$C$18,0)))</f>
        <v/>
      </c>
      <c r="E108">
        <f>E107*(1-D108)</f>
        <v/>
      </c>
      <c r="F108">
        <f>(E107+E108)/2</f>
        <v/>
      </c>
      <c r="G108">
        <f>G107*(1+IF(B108=Inputs_Annuity!$C$7,Inputs_Annuity!$C$8,Inputs_Annuity!$C$6))</f>
        <v/>
      </c>
      <c r="H108">
        <f>$B$7*G108*F108</f>
        <v/>
      </c>
      <c r="I108">
        <f>INDEX(Curve_Annuity!$D$2:$D$101,A108)</f>
        <v/>
      </c>
      <c r="J108">
        <f>H108*I108</f>
        <v/>
      </c>
    </row>
    <row r="109">
      <c r="A109" t="n">
        <v>91</v>
      </c>
      <c r="B109">
        <f>Inputs_Annuity!$C$2+A109</f>
        <v/>
      </c>
      <c r="C109">
        <f>$B$5+A109-1</f>
        <v/>
      </c>
      <c r="D109">
        <f>IF(C109&gt;=120,1,MIN(1,IF(A109&lt;=$B$6,IF($B$4="M",Inputs_Annuity!$C$13,Inputs_Annuity!$C$14),IF($B$4="M",Inputs_Annuity!$C$15,Inputs_Annuity!$C$16))*INDEX(ILT!$B$2:$C$122,MIN(C109,120)+1,IF($B$4="M",1,2))*(1-Inputs_Annuity!$C$17)^MAX(B109-Inputs_Annuity!$C$18,0)))</f>
        <v/>
      </c>
      <c r="E109">
        <f>E108*(1-D109)</f>
        <v/>
      </c>
      <c r="F109">
        <f>(E108+E109)/2</f>
        <v/>
      </c>
      <c r="G109">
        <f>G108*(1+IF(B109=Inputs_Annuity!$C$7,Inputs_Annuity!$C$8,Inputs_Annuity!$C$6))</f>
        <v/>
      </c>
      <c r="H109">
        <f>$B$7*G109*F109</f>
        <v/>
      </c>
      <c r="I109">
        <f>INDEX(Curve_Annuity!$D$2:$D$101,A109)</f>
        <v/>
      </c>
      <c r="J109">
        <f>H109*I109</f>
        <v/>
      </c>
    </row>
    <row r="110">
      <c r="A110" t="n">
        <v>92</v>
      </c>
      <c r="B110">
        <f>Inputs_Annuity!$C$2+A110</f>
        <v/>
      </c>
      <c r="C110">
        <f>$B$5+A110-1</f>
        <v/>
      </c>
      <c r="D110">
        <f>IF(C110&gt;=120,1,MIN(1,IF(A110&lt;=$B$6,IF($B$4="M",Inputs_Annuity!$C$13,Inputs_Annuity!$C$14),IF($B$4="M",Inputs_Annuity!$C$15,Inputs_Annuity!$C$16))*INDEX(ILT!$B$2:$C$122,MIN(C110,120)+1,IF($B$4="M",1,2))*(1-Inputs_Annuity!$C$17)^MAX(B110-Inputs_Annuity!$C$18,0)))</f>
        <v/>
      </c>
      <c r="E110">
        <f>E109*(1-D110)</f>
        <v/>
      </c>
      <c r="F110">
        <f>(E109+E110)/2</f>
        <v/>
      </c>
      <c r="G110">
        <f>G109*(1+IF(B110=Inputs_Annuity!$C$7,Inputs_Annuity!$C$8,Inputs_Annuity!$C$6))</f>
        <v/>
      </c>
      <c r="H110">
        <f>$B$7*G110*F110</f>
        <v/>
      </c>
      <c r="I110">
        <f>INDEX(Curve_Annuity!$D$2:$D$101,A110)</f>
        <v/>
      </c>
      <c r="J110">
        <f>H110*I110</f>
        <v/>
      </c>
    </row>
    <row r="111">
      <c r="A111" t="n">
        <v>93</v>
      </c>
      <c r="B111">
        <f>Inputs_Annuity!$C$2+A111</f>
        <v/>
      </c>
      <c r="C111">
        <f>$B$5+A111-1</f>
        <v/>
      </c>
      <c r="D111">
        <f>IF(C111&gt;=120,1,MIN(1,IF(A111&lt;=$B$6,IF($B$4="M",Inputs_Annuity!$C$13,Inputs_Annuity!$C$14),IF($B$4="M",Inputs_Annuity!$C$15,Inputs_Annuity!$C$16))*INDEX(ILT!$B$2:$C$122,MIN(C111,120)+1,IF($B$4="M",1,2))*(1-Inputs_Annuity!$C$17)^MAX(B111-Inputs_Annuity!$C$18,0)))</f>
        <v/>
      </c>
      <c r="E111">
        <f>E110*(1-D111)</f>
        <v/>
      </c>
      <c r="F111">
        <f>(E110+E111)/2</f>
        <v/>
      </c>
      <c r="G111">
        <f>G110*(1+IF(B111=Inputs_Annuity!$C$7,Inputs_Annuity!$C$8,Inputs_Annuity!$C$6))</f>
        <v/>
      </c>
      <c r="H111">
        <f>$B$7*G111*F111</f>
        <v/>
      </c>
      <c r="I111">
        <f>INDEX(Curve_Annuity!$D$2:$D$101,A111)</f>
        <v/>
      </c>
      <c r="J111">
        <f>H111*I111</f>
        <v/>
      </c>
    </row>
    <row r="112">
      <c r="A112" t="n">
        <v>94</v>
      </c>
      <c r="B112">
        <f>Inputs_Annuity!$C$2+A112</f>
        <v/>
      </c>
      <c r="C112">
        <f>$B$5+A112-1</f>
        <v/>
      </c>
      <c r="D112">
        <f>IF(C112&gt;=120,1,MIN(1,IF(A112&lt;=$B$6,IF($B$4="M",Inputs_Annuity!$C$13,Inputs_Annuity!$C$14),IF($B$4="M",Inputs_Annuity!$C$15,Inputs_Annuity!$C$16))*INDEX(ILT!$B$2:$C$122,MIN(C112,120)+1,IF($B$4="M",1,2))*(1-Inputs_Annuity!$C$17)^MAX(B112-Inputs_Annuity!$C$18,0)))</f>
        <v/>
      </c>
      <c r="E112">
        <f>E111*(1-D112)</f>
        <v/>
      </c>
      <c r="F112">
        <f>(E111+E112)/2</f>
        <v/>
      </c>
      <c r="G112">
        <f>G111*(1+IF(B112=Inputs_Annuity!$C$7,Inputs_Annuity!$C$8,Inputs_Annuity!$C$6))</f>
        <v/>
      </c>
      <c r="H112">
        <f>$B$7*G112*F112</f>
        <v/>
      </c>
      <c r="I112">
        <f>INDEX(Curve_Annuity!$D$2:$D$101,A112)</f>
        <v/>
      </c>
      <c r="J112">
        <f>H112*I112</f>
        <v/>
      </c>
    </row>
    <row r="113">
      <c r="A113" t="n">
        <v>95</v>
      </c>
      <c r="B113">
        <f>Inputs_Annuity!$C$2+A113</f>
        <v/>
      </c>
      <c r="C113">
        <f>$B$5+A113-1</f>
        <v/>
      </c>
      <c r="D113">
        <f>IF(C113&gt;=120,1,MIN(1,IF(A113&lt;=$B$6,IF($B$4="M",Inputs_Annuity!$C$13,Inputs_Annuity!$C$14),IF($B$4="M",Inputs_Annuity!$C$15,Inputs_Annuity!$C$16))*INDEX(ILT!$B$2:$C$122,MIN(C113,120)+1,IF($B$4="M",1,2))*(1-Inputs_Annuity!$C$17)^MAX(B113-Inputs_Annuity!$C$18,0)))</f>
        <v/>
      </c>
      <c r="E113">
        <f>E112*(1-D113)</f>
        <v/>
      </c>
      <c r="F113">
        <f>(E112+E113)/2</f>
        <v/>
      </c>
      <c r="G113">
        <f>G112*(1+IF(B113=Inputs_Annuity!$C$7,Inputs_Annuity!$C$8,Inputs_Annuity!$C$6))</f>
        <v/>
      </c>
      <c r="H113">
        <f>$B$7*G113*F113</f>
        <v/>
      </c>
      <c r="I113">
        <f>INDEX(Curve_Annuity!$D$2:$D$101,A113)</f>
        <v/>
      </c>
      <c r="J113">
        <f>H113*I113</f>
        <v/>
      </c>
    </row>
    <row r="114">
      <c r="A114" t="n">
        <v>96</v>
      </c>
      <c r="B114">
        <f>Inputs_Annuity!$C$2+A114</f>
        <v/>
      </c>
      <c r="C114">
        <f>$B$5+A114-1</f>
        <v/>
      </c>
      <c r="D114">
        <f>IF(C114&gt;=120,1,MIN(1,IF(A114&lt;=$B$6,IF($B$4="M",Inputs_Annuity!$C$13,Inputs_Annuity!$C$14),IF($B$4="M",Inputs_Annuity!$C$15,Inputs_Annuity!$C$16))*INDEX(ILT!$B$2:$C$122,MIN(C114,120)+1,IF($B$4="M",1,2))*(1-Inputs_Annuity!$C$17)^MAX(B114-Inputs_Annuity!$C$18,0)))</f>
        <v/>
      </c>
      <c r="E114">
        <f>E113*(1-D114)</f>
        <v/>
      </c>
      <c r="F114">
        <f>(E113+E114)/2</f>
        <v/>
      </c>
      <c r="G114">
        <f>G113*(1+IF(B114=Inputs_Annuity!$C$7,Inputs_Annuity!$C$8,Inputs_Annuity!$C$6))</f>
        <v/>
      </c>
      <c r="H114">
        <f>$B$7*G114*F114</f>
        <v/>
      </c>
      <c r="I114">
        <f>INDEX(Curve_Annuity!$D$2:$D$101,A114)</f>
        <v/>
      </c>
      <c r="J114">
        <f>H114*I114</f>
        <v/>
      </c>
    </row>
    <row r="115">
      <c r="A115" t="n">
        <v>97</v>
      </c>
      <c r="B115">
        <f>Inputs_Annuity!$C$2+A115</f>
        <v/>
      </c>
      <c r="C115">
        <f>$B$5+A115-1</f>
        <v/>
      </c>
      <c r="D115">
        <f>IF(C115&gt;=120,1,MIN(1,IF(A115&lt;=$B$6,IF($B$4="M",Inputs_Annuity!$C$13,Inputs_Annuity!$C$14),IF($B$4="M",Inputs_Annuity!$C$15,Inputs_Annuity!$C$16))*INDEX(ILT!$B$2:$C$122,MIN(C115,120)+1,IF($B$4="M",1,2))*(1-Inputs_Annuity!$C$17)^MAX(B115-Inputs_Annuity!$C$18,0)))</f>
        <v/>
      </c>
      <c r="E115">
        <f>E114*(1-D115)</f>
        <v/>
      </c>
      <c r="F115">
        <f>(E114+E115)/2</f>
        <v/>
      </c>
      <c r="G115">
        <f>G114*(1+IF(B115=Inputs_Annuity!$C$7,Inputs_Annuity!$C$8,Inputs_Annuity!$C$6))</f>
        <v/>
      </c>
      <c r="H115">
        <f>$B$7*G115*F115</f>
        <v/>
      </c>
      <c r="I115">
        <f>INDEX(Curve_Annuity!$D$2:$D$101,A115)</f>
        <v/>
      </c>
      <c r="J115">
        <f>H115*I115</f>
        <v/>
      </c>
    </row>
    <row r="116">
      <c r="A116" t="n">
        <v>98</v>
      </c>
      <c r="B116">
        <f>Inputs_Annuity!$C$2+A116</f>
        <v/>
      </c>
      <c r="C116">
        <f>$B$5+A116-1</f>
        <v/>
      </c>
      <c r="D116">
        <f>IF(C116&gt;=120,1,MIN(1,IF(A116&lt;=$B$6,IF($B$4="M",Inputs_Annuity!$C$13,Inputs_Annuity!$C$14),IF($B$4="M",Inputs_Annuity!$C$15,Inputs_Annuity!$C$16))*INDEX(ILT!$B$2:$C$122,MIN(C116,120)+1,IF($B$4="M",1,2))*(1-Inputs_Annuity!$C$17)^MAX(B116-Inputs_Annuity!$C$18,0)))</f>
        <v/>
      </c>
      <c r="E116">
        <f>E115*(1-D116)</f>
        <v/>
      </c>
      <c r="F116">
        <f>(E115+E116)/2</f>
        <v/>
      </c>
      <c r="G116">
        <f>G115*(1+IF(B116=Inputs_Annuity!$C$7,Inputs_Annuity!$C$8,Inputs_Annuity!$C$6))</f>
        <v/>
      </c>
      <c r="H116">
        <f>$B$7*G116*F116</f>
        <v/>
      </c>
      <c r="I116">
        <f>INDEX(Curve_Annuity!$D$2:$D$101,A116)</f>
        <v/>
      </c>
      <c r="J116">
        <f>H116*I116</f>
        <v/>
      </c>
    </row>
    <row r="117">
      <c r="A117" t="n">
        <v>99</v>
      </c>
      <c r="B117">
        <f>Inputs_Annuity!$C$2+A117</f>
        <v/>
      </c>
      <c r="C117">
        <f>$B$5+A117-1</f>
        <v/>
      </c>
      <c r="D117">
        <f>IF(C117&gt;=120,1,MIN(1,IF(A117&lt;=$B$6,IF($B$4="M",Inputs_Annuity!$C$13,Inputs_Annuity!$C$14),IF($B$4="M",Inputs_Annuity!$C$15,Inputs_Annuity!$C$16))*INDEX(ILT!$B$2:$C$122,MIN(C117,120)+1,IF($B$4="M",1,2))*(1-Inputs_Annuity!$C$17)^MAX(B117-Inputs_Annuity!$C$18,0)))</f>
        <v/>
      </c>
      <c r="E117">
        <f>E116*(1-D117)</f>
        <v/>
      </c>
      <c r="F117">
        <f>(E116+E117)/2</f>
        <v/>
      </c>
      <c r="G117">
        <f>G116*(1+IF(B117=Inputs_Annuity!$C$7,Inputs_Annuity!$C$8,Inputs_Annuity!$C$6))</f>
        <v/>
      </c>
      <c r="H117">
        <f>$B$7*G117*F117</f>
        <v/>
      </c>
      <c r="I117">
        <f>INDEX(Curve_Annuity!$D$2:$D$101,A117)</f>
        <v/>
      </c>
      <c r="J117">
        <f>H117*I117</f>
        <v/>
      </c>
    </row>
    <row r="118">
      <c r="A118" t="n">
        <v>100</v>
      </c>
      <c r="B118">
        <f>Inputs_Annuity!$C$2+A118</f>
        <v/>
      </c>
      <c r="C118">
        <f>$B$5+A118-1</f>
        <v/>
      </c>
      <c r="D118">
        <f>IF(C118&gt;=120,1,MIN(1,IF(A118&lt;=$B$6,IF($B$4="M",Inputs_Annuity!$C$13,Inputs_Annuity!$C$14),IF($B$4="M",Inputs_Annuity!$C$15,Inputs_Annuity!$C$16))*INDEX(ILT!$B$2:$C$122,MIN(C118,120)+1,IF($B$4="M",1,2))*(1-Inputs_Annuity!$C$17)^MAX(B118-Inputs_Annuity!$C$18,0)))</f>
        <v/>
      </c>
      <c r="E118">
        <f>E117*(1-D118)</f>
        <v/>
      </c>
      <c r="F118">
        <f>(E117+E118)/2</f>
        <v/>
      </c>
      <c r="G118">
        <f>G117*(1+IF(B118=Inputs_Annuity!$C$7,Inputs_Annuity!$C$8,Inputs_Annuity!$C$6))</f>
        <v/>
      </c>
      <c r="H118">
        <f>$B$7*G118*F118</f>
        <v/>
      </c>
      <c r="I118">
        <f>INDEX(Curve_Annuity!$D$2:$D$101,A118)</f>
        <v/>
      </c>
      <c r="J118">
        <f>H118*I118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FS_Deferred: pension at exit, official revaluation to the valuation year, then r a year to 65</t>
        </is>
      </c>
    </row>
    <row r="3">
      <c r="A3" t="inlineStr">
        <is>
          <t>member_id</t>
        </is>
      </c>
      <c r="B3" s="2" t="inlineStr">
        <is>
          <t>M0021</t>
        </is>
      </c>
      <c r="D3" t="inlineStr">
        <is>
          <t>PV at 6% / 4.25%</t>
        </is>
      </c>
      <c r="E3">
        <f>SUM(J19:J118)</f>
        <v/>
      </c>
    </row>
    <row r="4">
      <c r="A4" t="inlineStr">
        <is>
          <t>sex</t>
        </is>
      </c>
      <c r="B4" s="2" t="inlineStr">
        <is>
          <t>F</t>
        </is>
      </c>
      <c r="D4" t="inlineStr">
        <is>
          <t>MVA pre</t>
        </is>
      </c>
      <c r="E4">
        <f>((1+Inputs_S34!$C$26)/(1+Inputs_S34!$C$27+MIN($B$6,Inputs_S34!$C$28)/Inputs_S34!$C$29*(Inputs_S34!$C$26-Inputs_S34!$C$27)))^MIN($B$6,Inputs_S34!$C$28)</f>
        <v/>
      </c>
    </row>
    <row r="5">
      <c r="A5" t="inlineStr">
        <is>
          <t>age x (nearest, at valuation)</t>
        </is>
      </c>
      <c r="B5" s="2" t="n">
        <v>50</v>
      </c>
      <c r="D5" t="inlineStr">
        <is>
          <t>MVA post</t>
        </is>
      </c>
      <c r="E5">
        <f>IF($B$6&lt;=Inputs_S34!$C$28,Inputs_S34!$C$30*(Inputs_S34!$C$28-$B$6)/Inputs_S34!$C$28+$B$6/Inputs_S34!$C$28,1)</f>
        <v/>
      </c>
    </row>
    <row r="6">
      <c r="A6" t="inlineStr">
        <is>
          <t>T (years to 65)</t>
        </is>
      </c>
      <c r="B6" s="2" t="n">
        <v>15</v>
      </c>
      <c r="D6" t="inlineStr">
        <is>
          <t>Transfer value</t>
        </is>
      </c>
      <c r="E6">
        <f>E3*E4*E5</f>
        <v/>
      </c>
    </row>
    <row r="7">
      <c r="A7" t="inlineStr">
        <is>
          <t>pension at exit</t>
        </is>
      </c>
      <c r="B7" s="2" t="n">
        <v>3866.4</v>
      </c>
    </row>
    <row r="8">
      <c r="A8" t="inlineStr">
        <is>
          <t>exit year</t>
        </is>
      </c>
      <c r="B8" s="2" t="n">
        <v>2020</v>
      </c>
    </row>
    <row r="9">
      <c r="A9" t="inlineStr">
        <is>
          <t>exit month</t>
        </is>
      </c>
      <c r="B9" s="2" t="n">
        <v>7</v>
      </c>
    </row>
    <row r="10">
      <c r="A10" t="inlineStr">
        <is>
          <t>exit day</t>
        </is>
      </c>
      <c r="B10" s="2" t="n">
        <v>20</v>
      </c>
    </row>
    <row r="11">
      <c r="A11" t="inlineStr">
        <is>
          <t>complete months to 31 Dec</t>
        </is>
      </c>
      <c r="B11">
        <f>12-B9+IF(B10=1,1,0)</f>
        <v/>
      </c>
    </row>
    <row r="12">
      <c r="A12" t="inlineStr">
        <is>
          <t>revaluation factor to valuation year</t>
        </is>
      </c>
      <c r="B12">
        <f>N22</f>
        <v/>
      </c>
    </row>
    <row r="13">
      <c r="A13" t="inlineStr">
        <is>
          <t>pension at valuation date</t>
        </is>
      </c>
      <c r="B13">
        <f>B7*B12</f>
        <v/>
      </c>
    </row>
    <row r="14">
      <c r="A14" t="inlineStr">
        <is>
          <t>pension at 65 x loading</t>
        </is>
      </c>
      <c r="B14">
        <f>B13*(1+Inputs_S34!$C$5)^B6*(1+IF($B$4="M",Inputs_S34!$C$23,Inputs_S34!$C$24))^MAX(Inputs_S34!$C$2+$B$6-Inputs_S34!$C$25,0)</f>
        <v/>
      </c>
    </row>
    <row r="16">
      <c r="M16" s="3" t="inlineStr">
        <is>
          <t>rev. year</t>
        </is>
      </c>
      <c r="N16" s="3" t="inlineStr">
        <is>
          <t>factor</t>
        </is>
      </c>
    </row>
    <row r="17">
      <c r="A17" s="3" t="inlineStr">
        <is>
          <t>t</t>
        </is>
      </c>
      <c r="B17" s="3" t="inlineStr">
        <is>
          <t>year</t>
        </is>
      </c>
      <c r="C17" s="3" t="inlineStr">
        <is>
          <t>age</t>
        </is>
      </c>
      <c r="D17" s="3" t="inlineStr">
        <is>
          <t>q</t>
        </is>
      </c>
      <c r="E17" s="3" t="inlineStr">
        <is>
          <t>survival</t>
        </is>
      </c>
      <c r="F17" s="3" t="inlineStr">
        <is>
          <t>avg survival</t>
        </is>
      </c>
      <c r="G17" s="3" t="inlineStr">
        <is>
          <t>pension index</t>
        </is>
      </c>
      <c r="H17" s="3" t="inlineStr">
        <is>
          <t>cash flow</t>
        </is>
      </c>
      <c r="I17" s="3" t="inlineStr">
        <is>
          <t>DF 1</t>
        </is>
      </c>
      <c r="J17" s="3" t="inlineStr">
        <is>
          <t>PV 1</t>
        </is>
      </c>
      <c r="K17" s="3" t="inlineStr">
        <is>
          <t>PV 2</t>
        </is>
      </c>
      <c r="M17" t="n">
        <v>2020</v>
      </c>
      <c r="N17">
        <f>1+INDEX(Revaluation!$B:$B,M17-1996+2)/100*$B$11/12</f>
        <v/>
      </c>
    </row>
    <row r="18">
      <c r="A18" t="n">
        <v>0</v>
      </c>
      <c r="E18" t="n">
        <v>1</v>
      </c>
      <c r="G18" t="n">
        <v>0</v>
      </c>
      <c r="M18" t="n">
        <v>2021</v>
      </c>
      <c r="N18">
        <f>N17*(1+INDEX(Revaluation!$B:$B,M18-1996+2)/100)</f>
        <v/>
      </c>
    </row>
    <row r="19">
      <c r="A19" t="n">
        <v>1</v>
      </c>
      <c r="B19">
        <f>Inputs_S34!$C$2+A19</f>
        <v/>
      </c>
      <c r="C19">
        <f>$B$5+A19-1</f>
        <v/>
      </c>
      <c r="D19">
        <f>IF(C19&gt;=120,1,MIN(1,IF(A19&lt;=$B$6,IF($B$4="M",Inputs_S34!$C$13,Inputs_S34!$C$14),IF($B$4="M",Inputs_S34!$C$15,Inputs_S34!$C$16))*INDEX(ILT!$B$2:$C$122,MIN(C19,120)+1,IF($B$4="M",1,2))*(1-Inputs_S34!$C$17)^MAX(B19-Inputs_S34!$C$18,0)))</f>
        <v/>
      </c>
      <c r="E19">
        <f>E18*(1-D19)</f>
        <v/>
      </c>
      <c r="F19">
        <f>(E18+E19)/2</f>
        <v/>
      </c>
      <c r="G19">
        <f>IF(A19&lt;$B$6+1,0,IF(A19=$B$6+1,1,G18*(1+IF(B19=Inputs_S34!$C$7,Inputs_S34!$C$8,Inputs_S34!$C$6))))</f>
        <v/>
      </c>
      <c r="H19">
        <f>$B$14*G19*F19</f>
        <v/>
      </c>
      <c r="I19">
        <f>(1+Inputs_S34!$C$26)^-MIN(A19-0.5,$B$6)*(1+Inputs_S34!$C$27)^-MAX(A19-0.5-$B$6,0)</f>
        <v/>
      </c>
      <c r="J19">
        <f>H19*I19</f>
        <v/>
      </c>
      <c r="M19" t="n">
        <v>2022</v>
      </c>
      <c r="N19">
        <f>N18*(1+INDEX(Revaluation!$B:$B,M19-1996+2)/100)</f>
        <v/>
      </c>
    </row>
    <row r="20">
      <c r="A20" t="n">
        <v>2</v>
      </c>
      <c r="B20">
        <f>Inputs_S34!$C$2+A20</f>
        <v/>
      </c>
      <c r="C20">
        <f>$B$5+A20-1</f>
        <v/>
      </c>
      <c r="D20">
        <f>IF(C20&gt;=120,1,MIN(1,IF(A20&lt;=$B$6,IF($B$4="M",Inputs_S34!$C$13,Inputs_S34!$C$14),IF($B$4="M",Inputs_S34!$C$15,Inputs_S34!$C$16))*INDEX(ILT!$B$2:$C$122,MIN(C20,120)+1,IF($B$4="M",1,2))*(1-Inputs_S34!$C$17)^MAX(B20-Inputs_S34!$C$18,0)))</f>
        <v/>
      </c>
      <c r="E20">
        <f>E19*(1-D20)</f>
        <v/>
      </c>
      <c r="F20">
        <f>(E19+E20)/2</f>
        <v/>
      </c>
      <c r="G20">
        <f>IF(A20&lt;$B$6+1,0,IF(A20=$B$6+1,1,G19*(1+IF(B20=Inputs_S34!$C$7,Inputs_S34!$C$8,Inputs_S34!$C$6))))</f>
        <v/>
      </c>
      <c r="H20">
        <f>$B$14*G20*F20</f>
        <v/>
      </c>
      <c r="I20">
        <f>(1+Inputs_S34!$C$26)^-MIN(A20-0.5,$B$6)*(1+Inputs_S34!$C$27)^-MAX(A20-0.5-$B$6,0)</f>
        <v/>
      </c>
      <c r="J20">
        <f>H20*I20</f>
        <v/>
      </c>
      <c r="M20" t="n">
        <v>2023</v>
      </c>
      <c r="N20">
        <f>N19*(1+INDEX(Revaluation!$B:$B,M20-1996+2)/100)</f>
        <v/>
      </c>
    </row>
    <row r="21">
      <c r="A21" t="n">
        <v>3</v>
      </c>
      <c r="B21">
        <f>Inputs_S34!$C$2+A21</f>
        <v/>
      </c>
      <c r="C21">
        <f>$B$5+A21-1</f>
        <v/>
      </c>
      <c r="D21">
        <f>IF(C21&gt;=120,1,MIN(1,IF(A21&lt;=$B$6,IF($B$4="M",Inputs_S34!$C$13,Inputs_S34!$C$14),IF($B$4="M",Inputs_S34!$C$15,Inputs_S34!$C$16))*INDEX(ILT!$B$2:$C$122,MIN(C21,120)+1,IF($B$4="M",1,2))*(1-Inputs_S34!$C$17)^MAX(B21-Inputs_S34!$C$18,0)))</f>
        <v/>
      </c>
      <c r="E21">
        <f>E20*(1-D21)</f>
        <v/>
      </c>
      <c r="F21">
        <f>(E20+E21)/2</f>
        <v/>
      </c>
      <c r="G21">
        <f>IF(A21&lt;$B$6+1,0,IF(A21=$B$6+1,1,G20*(1+IF(B21=Inputs_S34!$C$7,Inputs_S34!$C$8,Inputs_S34!$C$6))))</f>
        <v/>
      </c>
      <c r="H21">
        <f>$B$14*G21*F21</f>
        <v/>
      </c>
      <c r="I21">
        <f>(1+Inputs_S34!$C$26)^-MIN(A21-0.5,$B$6)*(1+Inputs_S34!$C$27)^-MAX(A21-0.5-$B$6,0)</f>
        <v/>
      </c>
      <c r="J21">
        <f>H21*I21</f>
        <v/>
      </c>
      <c r="M21" t="n">
        <v>2024</v>
      </c>
      <c r="N21">
        <f>N20*(1+INDEX(Revaluation!$B:$B,M21-1996+2)/100)</f>
        <v/>
      </c>
    </row>
    <row r="22">
      <c r="A22" t="n">
        <v>4</v>
      </c>
      <c r="B22">
        <f>Inputs_S34!$C$2+A22</f>
        <v/>
      </c>
      <c r="C22">
        <f>$B$5+A22-1</f>
        <v/>
      </c>
      <c r="D22">
        <f>IF(C22&gt;=120,1,MIN(1,IF(A22&lt;=$B$6,IF($B$4="M",Inputs_S34!$C$13,Inputs_S34!$C$14),IF($B$4="M",Inputs_S34!$C$15,Inputs_S34!$C$16))*INDEX(ILT!$B$2:$C$122,MIN(C22,120)+1,IF($B$4="M",1,2))*(1-Inputs_S34!$C$17)^MAX(B22-Inputs_S34!$C$18,0)))</f>
        <v/>
      </c>
      <c r="E22">
        <f>E21*(1-D22)</f>
        <v/>
      </c>
      <c r="F22">
        <f>(E21+E22)/2</f>
        <v/>
      </c>
      <c r="G22">
        <f>IF(A22&lt;$B$6+1,0,IF(A22=$B$6+1,1,G21*(1+IF(B22=Inputs_S34!$C$7,Inputs_S34!$C$8,Inputs_S34!$C$6))))</f>
        <v/>
      </c>
      <c r="H22">
        <f>$B$14*G22*F22</f>
        <v/>
      </c>
      <c r="I22">
        <f>(1+Inputs_S34!$C$26)^-MIN(A22-0.5,$B$6)*(1+Inputs_S34!$C$27)^-MAX(A22-0.5-$B$6,0)</f>
        <v/>
      </c>
      <c r="J22">
        <f>H22*I22</f>
        <v/>
      </c>
      <c r="M22" t="n">
        <v>2025</v>
      </c>
      <c r="N22">
        <f>N21*(1+INDEX(Revaluation!$B:$B,M22-1996+2)/100)</f>
        <v/>
      </c>
    </row>
    <row r="23">
      <c r="A23" t="n">
        <v>5</v>
      </c>
      <c r="B23">
        <f>Inputs_S34!$C$2+A23</f>
        <v/>
      </c>
      <c r="C23">
        <f>$B$5+A23-1</f>
        <v/>
      </c>
      <c r="D23">
        <f>IF(C23&gt;=120,1,MIN(1,IF(A23&lt;=$B$6,IF($B$4="M",Inputs_S34!$C$13,Inputs_S34!$C$14),IF($B$4="M",Inputs_S34!$C$15,Inputs_S34!$C$16))*INDEX(ILT!$B$2:$C$122,MIN(C23,120)+1,IF($B$4="M",1,2))*(1-Inputs_S34!$C$17)^MAX(B23-Inputs_S34!$C$18,0)))</f>
        <v/>
      </c>
      <c r="E23">
        <f>E22*(1-D23)</f>
        <v/>
      </c>
      <c r="F23">
        <f>(E22+E23)/2</f>
        <v/>
      </c>
      <c r="G23">
        <f>IF(A23&lt;$B$6+1,0,IF(A23=$B$6+1,1,G22*(1+IF(B23=Inputs_S34!$C$7,Inputs_S34!$C$8,Inputs_S34!$C$6))))</f>
        <v/>
      </c>
      <c r="H23">
        <f>$B$14*G23*F23</f>
        <v/>
      </c>
      <c r="I23">
        <f>(1+Inputs_S34!$C$26)^-MIN(A23-0.5,$B$6)*(1+Inputs_S34!$C$27)^-MAX(A23-0.5-$B$6,0)</f>
        <v/>
      </c>
      <c r="J23">
        <f>H23*I23</f>
        <v/>
      </c>
    </row>
    <row r="24">
      <c r="A24" t="n">
        <v>6</v>
      </c>
      <c r="B24">
        <f>Inputs_S34!$C$2+A24</f>
        <v/>
      </c>
      <c r="C24">
        <f>$B$5+A24-1</f>
        <v/>
      </c>
      <c r="D24">
        <f>IF(C24&gt;=120,1,MIN(1,IF(A24&lt;=$B$6,IF($B$4="M",Inputs_S34!$C$13,Inputs_S34!$C$14),IF($B$4="M",Inputs_S34!$C$15,Inputs_S34!$C$16))*INDEX(ILT!$B$2:$C$122,MIN(C24,120)+1,IF($B$4="M",1,2))*(1-Inputs_S34!$C$17)^MAX(B24-Inputs_S34!$C$18,0)))</f>
        <v/>
      </c>
      <c r="E24">
        <f>E23*(1-D24)</f>
        <v/>
      </c>
      <c r="F24">
        <f>(E23+E24)/2</f>
        <v/>
      </c>
      <c r="G24">
        <f>IF(A24&lt;$B$6+1,0,IF(A24=$B$6+1,1,G23*(1+IF(B24=Inputs_S34!$C$7,Inputs_S34!$C$8,Inputs_S34!$C$6))))</f>
        <v/>
      </c>
      <c r="H24">
        <f>$B$14*G24*F24</f>
        <v/>
      </c>
      <c r="I24">
        <f>(1+Inputs_S34!$C$26)^-MIN(A24-0.5,$B$6)*(1+Inputs_S34!$C$27)^-MAX(A24-0.5-$B$6,0)</f>
        <v/>
      </c>
      <c r="J24">
        <f>H24*I24</f>
        <v/>
      </c>
    </row>
    <row r="25">
      <c r="A25" t="n">
        <v>7</v>
      </c>
      <c r="B25">
        <f>Inputs_S34!$C$2+A25</f>
        <v/>
      </c>
      <c r="C25">
        <f>$B$5+A25-1</f>
        <v/>
      </c>
      <c r="D25">
        <f>IF(C25&gt;=120,1,MIN(1,IF(A25&lt;=$B$6,IF($B$4="M",Inputs_S34!$C$13,Inputs_S34!$C$14),IF($B$4="M",Inputs_S34!$C$15,Inputs_S34!$C$16))*INDEX(ILT!$B$2:$C$122,MIN(C25,120)+1,IF($B$4="M",1,2))*(1-Inputs_S34!$C$17)^MAX(B25-Inputs_S34!$C$18,0)))</f>
        <v/>
      </c>
      <c r="E25">
        <f>E24*(1-D25)</f>
        <v/>
      </c>
      <c r="F25">
        <f>(E24+E25)/2</f>
        <v/>
      </c>
      <c r="G25">
        <f>IF(A25&lt;$B$6+1,0,IF(A25=$B$6+1,1,G24*(1+IF(B25=Inputs_S34!$C$7,Inputs_S34!$C$8,Inputs_S34!$C$6))))</f>
        <v/>
      </c>
      <c r="H25">
        <f>$B$14*G25*F25</f>
        <v/>
      </c>
      <c r="I25">
        <f>(1+Inputs_S34!$C$26)^-MIN(A25-0.5,$B$6)*(1+Inputs_S34!$C$27)^-MAX(A25-0.5-$B$6,0)</f>
        <v/>
      </c>
      <c r="J25">
        <f>H25*I25</f>
        <v/>
      </c>
    </row>
    <row r="26">
      <c r="A26" t="n">
        <v>8</v>
      </c>
      <c r="B26">
        <f>Inputs_S34!$C$2+A26</f>
        <v/>
      </c>
      <c r="C26">
        <f>$B$5+A26-1</f>
        <v/>
      </c>
      <c r="D26">
        <f>IF(C26&gt;=120,1,MIN(1,IF(A26&lt;=$B$6,IF($B$4="M",Inputs_S34!$C$13,Inputs_S34!$C$14),IF($B$4="M",Inputs_S34!$C$15,Inputs_S34!$C$16))*INDEX(ILT!$B$2:$C$122,MIN(C26,120)+1,IF($B$4="M",1,2))*(1-Inputs_S34!$C$17)^MAX(B26-Inputs_S34!$C$18,0)))</f>
        <v/>
      </c>
      <c r="E26">
        <f>E25*(1-D26)</f>
        <v/>
      </c>
      <c r="F26">
        <f>(E25+E26)/2</f>
        <v/>
      </c>
      <c r="G26">
        <f>IF(A26&lt;$B$6+1,0,IF(A26=$B$6+1,1,G25*(1+IF(B26=Inputs_S34!$C$7,Inputs_S34!$C$8,Inputs_S34!$C$6))))</f>
        <v/>
      </c>
      <c r="H26">
        <f>$B$14*G26*F26</f>
        <v/>
      </c>
      <c r="I26">
        <f>(1+Inputs_S34!$C$26)^-MIN(A26-0.5,$B$6)*(1+Inputs_S34!$C$27)^-MAX(A26-0.5-$B$6,0)</f>
        <v/>
      </c>
      <c r="J26">
        <f>H26*I26</f>
        <v/>
      </c>
    </row>
    <row r="27">
      <c r="A27" t="n">
        <v>9</v>
      </c>
      <c r="B27">
        <f>Inputs_S34!$C$2+A27</f>
        <v/>
      </c>
      <c r="C27">
        <f>$B$5+A27-1</f>
        <v/>
      </c>
      <c r="D27">
        <f>IF(C27&gt;=120,1,MIN(1,IF(A27&lt;=$B$6,IF($B$4="M",Inputs_S34!$C$13,Inputs_S34!$C$14),IF($B$4="M",Inputs_S34!$C$15,Inputs_S34!$C$16))*INDEX(ILT!$B$2:$C$122,MIN(C27,120)+1,IF($B$4="M",1,2))*(1-Inputs_S34!$C$17)^MAX(B27-Inputs_S34!$C$18,0)))</f>
        <v/>
      </c>
      <c r="E27">
        <f>E26*(1-D27)</f>
        <v/>
      </c>
      <c r="F27">
        <f>(E26+E27)/2</f>
        <v/>
      </c>
      <c r="G27">
        <f>IF(A27&lt;$B$6+1,0,IF(A27=$B$6+1,1,G26*(1+IF(B27=Inputs_S34!$C$7,Inputs_S34!$C$8,Inputs_S34!$C$6))))</f>
        <v/>
      </c>
      <c r="H27">
        <f>$B$14*G27*F27</f>
        <v/>
      </c>
      <c r="I27">
        <f>(1+Inputs_S34!$C$26)^-MIN(A27-0.5,$B$6)*(1+Inputs_S34!$C$27)^-MAX(A27-0.5-$B$6,0)</f>
        <v/>
      </c>
      <c r="J27">
        <f>H27*I27</f>
        <v/>
      </c>
    </row>
    <row r="28">
      <c r="A28" t="n">
        <v>10</v>
      </c>
      <c r="B28">
        <f>Inputs_S34!$C$2+A28</f>
        <v/>
      </c>
      <c r="C28">
        <f>$B$5+A28-1</f>
        <v/>
      </c>
      <c r="D28">
        <f>IF(C28&gt;=120,1,MIN(1,IF(A28&lt;=$B$6,IF($B$4="M",Inputs_S34!$C$13,Inputs_S34!$C$14),IF($B$4="M",Inputs_S34!$C$15,Inputs_S34!$C$16))*INDEX(ILT!$B$2:$C$122,MIN(C28,120)+1,IF($B$4="M",1,2))*(1-Inputs_S34!$C$17)^MAX(B28-Inputs_S34!$C$18,0)))</f>
        <v/>
      </c>
      <c r="E28">
        <f>E27*(1-D28)</f>
        <v/>
      </c>
      <c r="F28">
        <f>(E27+E28)/2</f>
        <v/>
      </c>
      <c r="G28">
        <f>IF(A28&lt;$B$6+1,0,IF(A28=$B$6+1,1,G27*(1+IF(B28=Inputs_S34!$C$7,Inputs_S34!$C$8,Inputs_S34!$C$6))))</f>
        <v/>
      </c>
      <c r="H28">
        <f>$B$14*G28*F28</f>
        <v/>
      </c>
      <c r="I28">
        <f>(1+Inputs_S34!$C$26)^-MIN(A28-0.5,$B$6)*(1+Inputs_S34!$C$27)^-MAX(A28-0.5-$B$6,0)</f>
        <v/>
      </c>
      <c r="J28">
        <f>H28*I28</f>
        <v/>
      </c>
    </row>
    <row r="29">
      <c r="A29" t="n">
        <v>11</v>
      </c>
      <c r="B29">
        <f>Inputs_S34!$C$2+A29</f>
        <v/>
      </c>
      <c r="C29">
        <f>$B$5+A29-1</f>
        <v/>
      </c>
      <c r="D29">
        <f>IF(C29&gt;=120,1,MIN(1,IF(A29&lt;=$B$6,IF($B$4="M",Inputs_S34!$C$13,Inputs_S34!$C$14),IF($B$4="M",Inputs_S34!$C$15,Inputs_S34!$C$16))*INDEX(ILT!$B$2:$C$122,MIN(C29,120)+1,IF($B$4="M",1,2))*(1-Inputs_S34!$C$17)^MAX(B29-Inputs_S34!$C$18,0)))</f>
        <v/>
      </c>
      <c r="E29">
        <f>E28*(1-D29)</f>
        <v/>
      </c>
      <c r="F29">
        <f>(E28+E29)/2</f>
        <v/>
      </c>
      <c r="G29">
        <f>IF(A29&lt;$B$6+1,0,IF(A29=$B$6+1,1,G28*(1+IF(B29=Inputs_S34!$C$7,Inputs_S34!$C$8,Inputs_S34!$C$6))))</f>
        <v/>
      </c>
      <c r="H29">
        <f>$B$14*G29*F29</f>
        <v/>
      </c>
      <c r="I29">
        <f>(1+Inputs_S34!$C$26)^-MIN(A29-0.5,$B$6)*(1+Inputs_S34!$C$27)^-MAX(A29-0.5-$B$6,0)</f>
        <v/>
      </c>
      <c r="J29">
        <f>H29*I29</f>
        <v/>
      </c>
    </row>
    <row r="30">
      <c r="A30" t="n">
        <v>12</v>
      </c>
      <c r="B30">
        <f>Inputs_S34!$C$2+A30</f>
        <v/>
      </c>
      <c r="C30">
        <f>$B$5+A30-1</f>
        <v/>
      </c>
      <c r="D30">
        <f>IF(C30&gt;=120,1,MIN(1,IF(A30&lt;=$B$6,IF($B$4="M",Inputs_S34!$C$13,Inputs_S34!$C$14),IF($B$4="M",Inputs_S34!$C$15,Inputs_S34!$C$16))*INDEX(ILT!$B$2:$C$122,MIN(C30,120)+1,IF($B$4="M",1,2))*(1-Inputs_S34!$C$17)^MAX(B30-Inputs_S34!$C$18,0)))</f>
        <v/>
      </c>
      <c r="E30">
        <f>E29*(1-D30)</f>
        <v/>
      </c>
      <c r="F30">
        <f>(E29+E30)/2</f>
        <v/>
      </c>
      <c r="G30">
        <f>IF(A30&lt;$B$6+1,0,IF(A30=$B$6+1,1,G29*(1+IF(B30=Inputs_S34!$C$7,Inputs_S34!$C$8,Inputs_S34!$C$6))))</f>
        <v/>
      </c>
      <c r="H30">
        <f>$B$14*G30*F30</f>
        <v/>
      </c>
      <c r="I30">
        <f>(1+Inputs_S34!$C$26)^-MIN(A30-0.5,$B$6)*(1+Inputs_S34!$C$27)^-MAX(A30-0.5-$B$6,0)</f>
        <v/>
      </c>
      <c r="J30">
        <f>H30*I30</f>
        <v/>
      </c>
    </row>
    <row r="31">
      <c r="A31" t="n">
        <v>13</v>
      </c>
      <c r="B31">
        <f>Inputs_S34!$C$2+A31</f>
        <v/>
      </c>
      <c r="C31">
        <f>$B$5+A31-1</f>
        <v/>
      </c>
      <c r="D31">
        <f>IF(C31&gt;=120,1,MIN(1,IF(A31&lt;=$B$6,IF($B$4="M",Inputs_S34!$C$13,Inputs_S34!$C$14),IF($B$4="M",Inputs_S34!$C$15,Inputs_S34!$C$16))*INDEX(ILT!$B$2:$C$122,MIN(C31,120)+1,IF($B$4="M",1,2))*(1-Inputs_S34!$C$17)^MAX(B31-Inputs_S34!$C$18,0)))</f>
        <v/>
      </c>
      <c r="E31">
        <f>E30*(1-D31)</f>
        <v/>
      </c>
      <c r="F31">
        <f>(E30+E31)/2</f>
        <v/>
      </c>
      <c r="G31">
        <f>IF(A31&lt;$B$6+1,0,IF(A31=$B$6+1,1,G30*(1+IF(B31=Inputs_S34!$C$7,Inputs_S34!$C$8,Inputs_S34!$C$6))))</f>
        <v/>
      </c>
      <c r="H31">
        <f>$B$14*G31*F31</f>
        <v/>
      </c>
      <c r="I31">
        <f>(1+Inputs_S34!$C$26)^-MIN(A31-0.5,$B$6)*(1+Inputs_S34!$C$27)^-MAX(A31-0.5-$B$6,0)</f>
        <v/>
      </c>
      <c r="J31">
        <f>H31*I31</f>
        <v/>
      </c>
    </row>
    <row r="32">
      <c r="A32" t="n">
        <v>14</v>
      </c>
      <c r="B32">
        <f>Inputs_S34!$C$2+A32</f>
        <v/>
      </c>
      <c r="C32">
        <f>$B$5+A32-1</f>
        <v/>
      </c>
      <c r="D32">
        <f>IF(C32&gt;=120,1,MIN(1,IF(A32&lt;=$B$6,IF($B$4="M",Inputs_S34!$C$13,Inputs_S34!$C$14),IF($B$4="M",Inputs_S34!$C$15,Inputs_S34!$C$16))*INDEX(ILT!$B$2:$C$122,MIN(C32,120)+1,IF($B$4="M",1,2))*(1-Inputs_S34!$C$17)^MAX(B32-Inputs_S34!$C$18,0)))</f>
        <v/>
      </c>
      <c r="E32">
        <f>E31*(1-D32)</f>
        <v/>
      </c>
      <c r="F32">
        <f>(E31+E32)/2</f>
        <v/>
      </c>
      <c r="G32">
        <f>IF(A32&lt;$B$6+1,0,IF(A32=$B$6+1,1,G31*(1+IF(B32=Inputs_S34!$C$7,Inputs_S34!$C$8,Inputs_S34!$C$6))))</f>
        <v/>
      </c>
      <c r="H32">
        <f>$B$14*G32*F32</f>
        <v/>
      </c>
      <c r="I32">
        <f>(1+Inputs_S34!$C$26)^-MIN(A32-0.5,$B$6)*(1+Inputs_S34!$C$27)^-MAX(A32-0.5-$B$6,0)</f>
        <v/>
      </c>
      <c r="J32">
        <f>H32*I32</f>
        <v/>
      </c>
    </row>
    <row r="33">
      <c r="A33" t="n">
        <v>15</v>
      </c>
      <c r="B33">
        <f>Inputs_S34!$C$2+A33</f>
        <v/>
      </c>
      <c r="C33">
        <f>$B$5+A33-1</f>
        <v/>
      </c>
      <c r="D33">
        <f>IF(C33&gt;=120,1,MIN(1,IF(A33&lt;=$B$6,IF($B$4="M",Inputs_S34!$C$13,Inputs_S34!$C$14),IF($B$4="M",Inputs_S34!$C$15,Inputs_S34!$C$16))*INDEX(ILT!$B$2:$C$122,MIN(C33,120)+1,IF($B$4="M",1,2))*(1-Inputs_S34!$C$17)^MAX(B33-Inputs_S34!$C$18,0)))</f>
        <v/>
      </c>
      <c r="E33">
        <f>E32*(1-D33)</f>
        <v/>
      </c>
      <c r="F33">
        <f>(E32+E33)/2</f>
        <v/>
      </c>
      <c r="G33">
        <f>IF(A33&lt;$B$6+1,0,IF(A33=$B$6+1,1,G32*(1+IF(B33=Inputs_S34!$C$7,Inputs_S34!$C$8,Inputs_S34!$C$6))))</f>
        <v/>
      </c>
      <c r="H33">
        <f>$B$14*G33*F33</f>
        <v/>
      </c>
      <c r="I33">
        <f>(1+Inputs_S34!$C$26)^-MIN(A33-0.5,$B$6)*(1+Inputs_S34!$C$27)^-MAX(A33-0.5-$B$6,0)</f>
        <v/>
      </c>
      <c r="J33">
        <f>H33*I33</f>
        <v/>
      </c>
    </row>
    <row r="34">
      <c r="A34" t="n">
        <v>16</v>
      </c>
      <c r="B34">
        <f>Inputs_S34!$C$2+A34</f>
        <v/>
      </c>
      <c r="C34">
        <f>$B$5+A34-1</f>
        <v/>
      </c>
      <c r="D34">
        <f>IF(C34&gt;=120,1,MIN(1,IF(A34&lt;=$B$6,IF($B$4="M",Inputs_S34!$C$13,Inputs_S34!$C$14),IF($B$4="M",Inputs_S34!$C$15,Inputs_S34!$C$16))*INDEX(ILT!$B$2:$C$122,MIN(C34,120)+1,IF($B$4="M",1,2))*(1-Inputs_S34!$C$17)^MAX(B34-Inputs_S34!$C$18,0)))</f>
        <v/>
      </c>
      <c r="E34">
        <f>E33*(1-D34)</f>
        <v/>
      </c>
      <c r="F34">
        <f>(E33+E34)/2</f>
        <v/>
      </c>
      <c r="G34">
        <f>IF(A34&lt;$B$6+1,0,IF(A34=$B$6+1,1,G33*(1+IF(B34=Inputs_S34!$C$7,Inputs_S34!$C$8,Inputs_S34!$C$6))))</f>
        <v/>
      </c>
      <c r="H34">
        <f>$B$14*G34*F34</f>
        <v/>
      </c>
      <c r="I34">
        <f>(1+Inputs_S34!$C$26)^-MIN(A34-0.5,$B$6)*(1+Inputs_S34!$C$27)^-MAX(A34-0.5-$B$6,0)</f>
        <v/>
      </c>
      <c r="J34">
        <f>H34*I34</f>
        <v/>
      </c>
    </row>
    <row r="35">
      <c r="A35" t="n">
        <v>17</v>
      </c>
      <c r="B35">
        <f>Inputs_S34!$C$2+A35</f>
        <v/>
      </c>
      <c r="C35">
        <f>$B$5+A35-1</f>
        <v/>
      </c>
      <c r="D35">
        <f>IF(C35&gt;=120,1,MIN(1,IF(A35&lt;=$B$6,IF($B$4="M",Inputs_S34!$C$13,Inputs_S34!$C$14),IF($B$4="M",Inputs_S34!$C$15,Inputs_S34!$C$16))*INDEX(ILT!$B$2:$C$122,MIN(C35,120)+1,IF($B$4="M",1,2))*(1-Inputs_S34!$C$17)^MAX(B35-Inputs_S34!$C$18,0)))</f>
        <v/>
      </c>
      <c r="E35">
        <f>E34*(1-D35)</f>
        <v/>
      </c>
      <c r="F35">
        <f>(E34+E35)/2</f>
        <v/>
      </c>
      <c r="G35">
        <f>IF(A35&lt;$B$6+1,0,IF(A35=$B$6+1,1,G34*(1+IF(B35=Inputs_S34!$C$7,Inputs_S34!$C$8,Inputs_S34!$C$6))))</f>
        <v/>
      </c>
      <c r="H35">
        <f>$B$14*G35*F35</f>
        <v/>
      </c>
      <c r="I35">
        <f>(1+Inputs_S34!$C$26)^-MIN(A35-0.5,$B$6)*(1+Inputs_S34!$C$27)^-MAX(A35-0.5-$B$6,0)</f>
        <v/>
      </c>
      <c r="J35">
        <f>H35*I35</f>
        <v/>
      </c>
    </row>
    <row r="36">
      <c r="A36" t="n">
        <v>18</v>
      </c>
      <c r="B36">
        <f>Inputs_S34!$C$2+A36</f>
        <v/>
      </c>
      <c r="C36">
        <f>$B$5+A36-1</f>
        <v/>
      </c>
      <c r="D36">
        <f>IF(C36&gt;=120,1,MIN(1,IF(A36&lt;=$B$6,IF($B$4="M",Inputs_S34!$C$13,Inputs_S34!$C$14),IF($B$4="M",Inputs_S34!$C$15,Inputs_S34!$C$16))*INDEX(ILT!$B$2:$C$122,MIN(C36,120)+1,IF($B$4="M",1,2))*(1-Inputs_S34!$C$17)^MAX(B36-Inputs_S34!$C$18,0)))</f>
        <v/>
      </c>
      <c r="E36">
        <f>E35*(1-D36)</f>
        <v/>
      </c>
      <c r="F36">
        <f>(E35+E36)/2</f>
        <v/>
      </c>
      <c r="G36">
        <f>IF(A36&lt;$B$6+1,0,IF(A36=$B$6+1,1,G35*(1+IF(B36=Inputs_S34!$C$7,Inputs_S34!$C$8,Inputs_S34!$C$6))))</f>
        <v/>
      </c>
      <c r="H36">
        <f>$B$14*G36*F36</f>
        <v/>
      </c>
      <c r="I36">
        <f>(1+Inputs_S34!$C$26)^-MIN(A36-0.5,$B$6)*(1+Inputs_S34!$C$27)^-MAX(A36-0.5-$B$6,0)</f>
        <v/>
      </c>
      <c r="J36">
        <f>H36*I36</f>
        <v/>
      </c>
    </row>
    <row r="37">
      <c r="A37" t="n">
        <v>19</v>
      </c>
      <c r="B37">
        <f>Inputs_S34!$C$2+A37</f>
        <v/>
      </c>
      <c r="C37">
        <f>$B$5+A37-1</f>
        <v/>
      </c>
      <c r="D37">
        <f>IF(C37&gt;=120,1,MIN(1,IF(A37&lt;=$B$6,IF($B$4="M",Inputs_S34!$C$13,Inputs_S34!$C$14),IF($B$4="M",Inputs_S34!$C$15,Inputs_S34!$C$16))*INDEX(ILT!$B$2:$C$122,MIN(C37,120)+1,IF($B$4="M",1,2))*(1-Inputs_S34!$C$17)^MAX(B37-Inputs_S34!$C$18,0)))</f>
        <v/>
      </c>
      <c r="E37">
        <f>E36*(1-D37)</f>
        <v/>
      </c>
      <c r="F37">
        <f>(E36+E37)/2</f>
        <v/>
      </c>
      <c r="G37">
        <f>IF(A37&lt;$B$6+1,0,IF(A37=$B$6+1,1,G36*(1+IF(B37=Inputs_S34!$C$7,Inputs_S34!$C$8,Inputs_S34!$C$6))))</f>
        <v/>
      </c>
      <c r="H37">
        <f>$B$14*G37*F37</f>
        <v/>
      </c>
      <c r="I37">
        <f>(1+Inputs_S34!$C$26)^-MIN(A37-0.5,$B$6)*(1+Inputs_S34!$C$27)^-MAX(A37-0.5-$B$6,0)</f>
        <v/>
      </c>
      <c r="J37">
        <f>H37*I37</f>
        <v/>
      </c>
    </row>
    <row r="38">
      <c r="A38" t="n">
        <v>20</v>
      </c>
      <c r="B38">
        <f>Inputs_S34!$C$2+A38</f>
        <v/>
      </c>
      <c r="C38">
        <f>$B$5+A38-1</f>
        <v/>
      </c>
      <c r="D38">
        <f>IF(C38&gt;=120,1,MIN(1,IF(A38&lt;=$B$6,IF($B$4="M",Inputs_S34!$C$13,Inputs_S34!$C$14),IF($B$4="M",Inputs_S34!$C$15,Inputs_S34!$C$16))*INDEX(ILT!$B$2:$C$122,MIN(C38,120)+1,IF($B$4="M",1,2))*(1-Inputs_S34!$C$17)^MAX(B38-Inputs_S34!$C$18,0)))</f>
        <v/>
      </c>
      <c r="E38">
        <f>E37*(1-D38)</f>
        <v/>
      </c>
      <c r="F38">
        <f>(E37+E38)/2</f>
        <v/>
      </c>
      <c r="G38">
        <f>IF(A38&lt;$B$6+1,0,IF(A38=$B$6+1,1,G37*(1+IF(B38=Inputs_S34!$C$7,Inputs_S34!$C$8,Inputs_S34!$C$6))))</f>
        <v/>
      </c>
      <c r="H38">
        <f>$B$14*G38*F38</f>
        <v/>
      </c>
      <c r="I38">
        <f>(1+Inputs_S34!$C$26)^-MIN(A38-0.5,$B$6)*(1+Inputs_S34!$C$27)^-MAX(A38-0.5-$B$6,0)</f>
        <v/>
      </c>
      <c r="J38">
        <f>H38*I38</f>
        <v/>
      </c>
    </row>
    <row r="39">
      <c r="A39" t="n">
        <v>21</v>
      </c>
      <c r="B39">
        <f>Inputs_S34!$C$2+A39</f>
        <v/>
      </c>
      <c r="C39">
        <f>$B$5+A39-1</f>
        <v/>
      </c>
      <c r="D39">
        <f>IF(C39&gt;=120,1,MIN(1,IF(A39&lt;=$B$6,IF($B$4="M",Inputs_S34!$C$13,Inputs_S34!$C$14),IF($B$4="M",Inputs_S34!$C$15,Inputs_S34!$C$16))*INDEX(ILT!$B$2:$C$122,MIN(C39,120)+1,IF($B$4="M",1,2))*(1-Inputs_S34!$C$17)^MAX(B39-Inputs_S34!$C$18,0)))</f>
        <v/>
      </c>
      <c r="E39">
        <f>E38*(1-D39)</f>
        <v/>
      </c>
      <c r="F39">
        <f>(E38+E39)/2</f>
        <v/>
      </c>
      <c r="G39">
        <f>IF(A39&lt;$B$6+1,0,IF(A39=$B$6+1,1,G38*(1+IF(B39=Inputs_S34!$C$7,Inputs_S34!$C$8,Inputs_S34!$C$6))))</f>
        <v/>
      </c>
      <c r="H39">
        <f>$B$14*G39*F39</f>
        <v/>
      </c>
      <c r="I39">
        <f>(1+Inputs_S34!$C$26)^-MIN(A39-0.5,$B$6)*(1+Inputs_S34!$C$27)^-MAX(A39-0.5-$B$6,0)</f>
        <v/>
      </c>
      <c r="J39">
        <f>H39*I39</f>
        <v/>
      </c>
    </row>
    <row r="40">
      <c r="A40" t="n">
        <v>22</v>
      </c>
      <c r="B40">
        <f>Inputs_S34!$C$2+A40</f>
        <v/>
      </c>
      <c r="C40">
        <f>$B$5+A40-1</f>
        <v/>
      </c>
      <c r="D40">
        <f>IF(C40&gt;=120,1,MIN(1,IF(A40&lt;=$B$6,IF($B$4="M",Inputs_S34!$C$13,Inputs_S34!$C$14),IF($B$4="M",Inputs_S34!$C$15,Inputs_S34!$C$16))*INDEX(ILT!$B$2:$C$122,MIN(C40,120)+1,IF($B$4="M",1,2))*(1-Inputs_S34!$C$17)^MAX(B40-Inputs_S34!$C$18,0)))</f>
        <v/>
      </c>
      <c r="E40">
        <f>E39*(1-D40)</f>
        <v/>
      </c>
      <c r="F40">
        <f>(E39+E40)/2</f>
        <v/>
      </c>
      <c r="G40">
        <f>IF(A40&lt;$B$6+1,0,IF(A40=$B$6+1,1,G39*(1+IF(B40=Inputs_S34!$C$7,Inputs_S34!$C$8,Inputs_S34!$C$6))))</f>
        <v/>
      </c>
      <c r="H40">
        <f>$B$14*G40*F40</f>
        <v/>
      </c>
      <c r="I40">
        <f>(1+Inputs_S34!$C$26)^-MIN(A40-0.5,$B$6)*(1+Inputs_S34!$C$27)^-MAX(A40-0.5-$B$6,0)</f>
        <v/>
      </c>
      <c r="J40">
        <f>H40*I40</f>
        <v/>
      </c>
    </row>
    <row r="41">
      <c r="A41" t="n">
        <v>23</v>
      </c>
      <c r="B41">
        <f>Inputs_S34!$C$2+A41</f>
        <v/>
      </c>
      <c r="C41">
        <f>$B$5+A41-1</f>
        <v/>
      </c>
      <c r="D41">
        <f>IF(C41&gt;=120,1,MIN(1,IF(A41&lt;=$B$6,IF($B$4="M",Inputs_S34!$C$13,Inputs_S34!$C$14),IF($B$4="M",Inputs_S34!$C$15,Inputs_S34!$C$16))*INDEX(ILT!$B$2:$C$122,MIN(C41,120)+1,IF($B$4="M",1,2))*(1-Inputs_S34!$C$17)^MAX(B41-Inputs_S34!$C$18,0)))</f>
        <v/>
      </c>
      <c r="E41">
        <f>E40*(1-D41)</f>
        <v/>
      </c>
      <c r="F41">
        <f>(E40+E41)/2</f>
        <v/>
      </c>
      <c r="G41">
        <f>IF(A41&lt;$B$6+1,0,IF(A41=$B$6+1,1,G40*(1+IF(B41=Inputs_S34!$C$7,Inputs_S34!$C$8,Inputs_S34!$C$6))))</f>
        <v/>
      </c>
      <c r="H41">
        <f>$B$14*G41*F41</f>
        <v/>
      </c>
      <c r="I41">
        <f>(1+Inputs_S34!$C$26)^-MIN(A41-0.5,$B$6)*(1+Inputs_S34!$C$27)^-MAX(A41-0.5-$B$6,0)</f>
        <v/>
      </c>
      <c r="J41">
        <f>H41*I41</f>
        <v/>
      </c>
    </row>
    <row r="42">
      <c r="A42" t="n">
        <v>24</v>
      </c>
      <c r="B42">
        <f>Inputs_S34!$C$2+A42</f>
        <v/>
      </c>
      <c r="C42">
        <f>$B$5+A42-1</f>
        <v/>
      </c>
      <c r="D42">
        <f>IF(C42&gt;=120,1,MIN(1,IF(A42&lt;=$B$6,IF($B$4="M",Inputs_S34!$C$13,Inputs_S34!$C$14),IF($B$4="M",Inputs_S34!$C$15,Inputs_S34!$C$16))*INDEX(ILT!$B$2:$C$122,MIN(C42,120)+1,IF($B$4="M",1,2))*(1-Inputs_S34!$C$17)^MAX(B42-Inputs_S34!$C$18,0)))</f>
        <v/>
      </c>
      <c r="E42">
        <f>E41*(1-D42)</f>
        <v/>
      </c>
      <c r="F42">
        <f>(E41+E42)/2</f>
        <v/>
      </c>
      <c r="G42">
        <f>IF(A42&lt;$B$6+1,0,IF(A42=$B$6+1,1,G41*(1+IF(B42=Inputs_S34!$C$7,Inputs_S34!$C$8,Inputs_S34!$C$6))))</f>
        <v/>
      </c>
      <c r="H42">
        <f>$B$14*G42*F42</f>
        <v/>
      </c>
      <c r="I42">
        <f>(1+Inputs_S34!$C$26)^-MIN(A42-0.5,$B$6)*(1+Inputs_S34!$C$27)^-MAX(A42-0.5-$B$6,0)</f>
        <v/>
      </c>
      <c r="J42">
        <f>H42*I42</f>
        <v/>
      </c>
    </row>
    <row r="43">
      <c r="A43" t="n">
        <v>25</v>
      </c>
      <c r="B43">
        <f>Inputs_S34!$C$2+A43</f>
        <v/>
      </c>
      <c r="C43">
        <f>$B$5+A43-1</f>
        <v/>
      </c>
      <c r="D43">
        <f>IF(C43&gt;=120,1,MIN(1,IF(A43&lt;=$B$6,IF($B$4="M",Inputs_S34!$C$13,Inputs_S34!$C$14),IF($B$4="M",Inputs_S34!$C$15,Inputs_S34!$C$16))*INDEX(ILT!$B$2:$C$122,MIN(C43,120)+1,IF($B$4="M",1,2))*(1-Inputs_S34!$C$17)^MAX(B43-Inputs_S34!$C$18,0)))</f>
        <v/>
      </c>
      <c r="E43">
        <f>E42*(1-D43)</f>
        <v/>
      </c>
      <c r="F43">
        <f>(E42+E43)/2</f>
        <v/>
      </c>
      <c r="G43">
        <f>IF(A43&lt;$B$6+1,0,IF(A43=$B$6+1,1,G42*(1+IF(B43=Inputs_S34!$C$7,Inputs_S34!$C$8,Inputs_S34!$C$6))))</f>
        <v/>
      </c>
      <c r="H43">
        <f>$B$14*G43*F43</f>
        <v/>
      </c>
      <c r="I43">
        <f>(1+Inputs_S34!$C$26)^-MIN(A43-0.5,$B$6)*(1+Inputs_S34!$C$27)^-MAX(A43-0.5-$B$6,0)</f>
        <v/>
      </c>
      <c r="J43">
        <f>H43*I43</f>
        <v/>
      </c>
    </row>
    <row r="44">
      <c r="A44" t="n">
        <v>26</v>
      </c>
      <c r="B44">
        <f>Inputs_S34!$C$2+A44</f>
        <v/>
      </c>
      <c r="C44">
        <f>$B$5+A44-1</f>
        <v/>
      </c>
      <c r="D44">
        <f>IF(C44&gt;=120,1,MIN(1,IF(A44&lt;=$B$6,IF($B$4="M",Inputs_S34!$C$13,Inputs_S34!$C$14),IF($B$4="M",Inputs_S34!$C$15,Inputs_S34!$C$16))*INDEX(ILT!$B$2:$C$122,MIN(C44,120)+1,IF($B$4="M",1,2))*(1-Inputs_S34!$C$17)^MAX(B44-Inputs_S34!$C$18,0)))</f>
        <v/>
      </c>
      <c r="E44">
        <f>E43*(1-D44)</f>
        <v/>
      </c>
      <c r="F44">
        <f>(E43+E44)/2</f>
        <v/>
      </c>
      <c r="G44">
        <f>IF(A44&lt;$B$6+1,0,IF(A44=$B$6+1,1,G43*(1+IF(B44=Inputs_S34!$C$7,Inputs_S34!$C$8,Inputs_S34!$C$6))))</f>
        <v/>
      </c>
      <c r="H44">
        <f>$B$14*G44*F44</f>
        <v/>
      </c>
      <c r="I44">
        <f>(1+Inputs_S34!$C$26)^-MIN(A44-0.5,$B$6)*(1+Inputs_S34!$C$27)^-MAX(A44-0.5-$B$6,0)</f>
        <v/>
      </c>
      <c r="J44">
        <f>H44*I44</f>
        <v/>
      </c>
    </row>
    <row r="45">
      <c r="A45" t="n">
        <v>27</v>
      </c>
      <c r="B45">
        <f>Inputs_S34!$C$2+A45</f>
        <v/>
      </c>
      <c r="C45">
        <f>$B$5+A45-1</f>
        <v/>
      </c>
      <c r="D45">
        <f>IF(C45&gt;=120,1,MIN(1,IF(A45&lt;=$B$6,IF($B$4="M",Inputs_S34!$C$13,Inputs_S34!$C$14),IF($B$4="M",Inputs_S34!$C$15,Inputs_S34!$C$16))*INDEX(ILT!$B$2:$C$122,MIN(C45,120)+1,IF($B$4="M",1,2))*(1-Inputs_S34!$C$17)^MAX(B45-Inputs_S34!$C$18,0)))</f>
        <v/>
      </c>
      <c r="E45">
        <f>E44*(1-D45)</f>
        <v/>
      </c>
      <c r="F45">
        <f>(E44+E45)/2</f>
        <v/>
      </c>
      <c r="G45">
        <f>IF(A45&lt;$B$6+1,0,IF(A45=$B$6+1,1,G44*(1+IF(B45=Inputs_S34!$C$7,Inputs_S34!$C$8,Inputs_S34!$C$6))))</f>
        <v/>
      </c>
      <c r="H45">
        <f>$B$14*G45*F45</f>
        <v/>
      </c>
      <c r="I45">
        <f>(1+Inputs_S34!$C$26)^-MIN(A45-0.5,$B$6)*(1+Inputs_S34!$C$27)^-MAX(A45-0.5-$B$6,0)</f>
        <v/>
      </c>
      <c r="J45">
        <f>H45*I45</f>
        <v/>
      </c>
    </row>
    <row r="46">
      <c r="A46" t="n">
        <v>28</v>
      </c>
      <c r="B46">
        <f>Inputs_S34!$C$2+A46</f>
        <v/>
      </c>
      <c r="C46">
        <f>$B$5+A46-1</f>
        <v/>
      </c>
      <c r="D46">
        <f>IF(C46&gt;=120,1,MIN(1,IF(A46&lt;=$B$6,IF($B$4="M",Inputs_S34!$C$13,Inputs_S34!$C$14),IF($B$4="M",Inputs_S34!$C$15,Inputs_S34!$C$16))*INDEX(ILT!$B$2:$C$122,MIN(C46,120)+1,IF($B$4="M",1,2))*(1-Inputs_S34!$C$17)^MAX(B46-Inputs_S34!$C$18,0)))</f>
        <v/>
      </c>
      <c r="E46">
        <f>E45*(1-D46)</f>
        <v/>
      </c>
      <c r="F46">
        <f>(E45+E46)/2</f>
        <v/>
      </c>
      <c r="G46">
        <f>IF(A46&lt;$B$6+1,0,IF(A46=$B$6+1,1,G45*(1+IF(B46=Inputs_S34!$C$7,Inputs_S34!$C$8,Inputs_S34!$C$6))))</f>
        <v/>
      </c>
      <c r="H46">
        <f>$B$14*G46*F46</f>
        <v/>
      </c>
      <c r="I46">
        <f>(1+Inputs_S34!$C$26)^-MIN(A46-0.5,$B$6)*(1+Inputs_S34!$C$27)^-MAX(A46-0.5-$B$6,0)</f>
        <v/>
      </c>
      <c r="J46">
        <f>H46*I46</f>
        <v/>
      </c>
    </row>
    <row r="47">
      <c r="A47" t="n">
        <v>29</v>
      </c>
      <c r="B47">
        <f>Inputs_S34!$C$2+A47</f>
        <v/>
      </c>
      <c r="C47">
        <f>$B$5+A47-1</f>
        <v/>
      </c>
      <c r="D47">
        <f>IF(C47&gt;=120,1,MIN(1,IF(A47&lt;=$B$6,IF($B$4="M",Inputs_S34!$C$13,Inputs_S34!$C$14),IF($B$4="M",Inputs_S34!$C$15,Inputs_S34!$C$16))*INDEX(ILT!$B$2:$C$122,MIN(C47,120)+1,IF($B$4="M",1,2))*(1-Inputs_S34!$C$17)^MAX(B47-Inputs_S34!$C$18,0)))</f>
        <v/>
      </c>
      <c r="E47">
        <f>E46*(1-D47)</f>
        <v/>
      </c>
      <c r="F47">
        <f>(E46+E47)/2</f>
        <v/>
      </c>
      <c r="G47">
        <f>IF(A47&lt;$B$6+1,0,IF(A47=$B$6+1,1,G46*(1+IF(B47=Inputs_S34!$C$7,Inputs_S34!$C$8,Inputs_S34!$C$6))))</f>
        <v/>
      </c>
      <c r="H47">
        <f>$B$14*G47*F47</f>
        <v/>
      </c>
      <c r="I47">
        <f>(1+Inputs_S34!$C$26)^-MIN(A47-0.5,$B$6)*(1+Inputs_S34!$C$27)^-MAX(A47-0.5-$B$6,0)</f>
        <v/>
      </c>
      <c r="J47">
        <f>H47*I47</f>
        <v/>
      </c>
    </row>
    <row r="48">
      <c r="A48" t="n">
        <v>30</v>
      </c>
      <c r="B48">
        <f>Inputs_S34!$C$2+A48</f>
        <v/>
      </c>
      <c r="C48">
        <f>$B$5+A48-1</f>
        <v/>
      </c>
      <c r="D48">
        <f>IF(C48&gt;=120,1,MIN(1,IF(A48&lt;=$B$6,IF($B$4="M",Inputs_S34!$C$13,Inputs_S34!$C$14),IF($B$4="M",Inputs_S34!$C$15,Inputs_S34!$C$16))*INDEX(ILT!$B$2:$C$122,MIN(C48,120)+1,IF($B$4="M",1,2))*(1-Inputs_S34!$C$17)^MAX(B48-Inputs_S34!$C$18,0)))</f>
        <v/>
      </c>
      <c r="E48">
        <f>E47*(1-D48)</f>
        <v/>
      </c>
      <c r="F48">
        <f>(E47+E48)/2</f>
        <v/>
      </c>
      <c r="G48">
        <f>IF(A48&lt;$B$6+1,0,IF(A48=$B$6+1,1,G47*(1+IF(B48=Inputs_S34!$C$7,Inputs_S34!$C$8,Inputs_S34!$C$6))))</f>
        <v/>
      </c>
      <c r="H48">
        <f>$B$14*G48*F48</f>
        <v/>
      </c>
      <c r="I48">
        <f>(1+Inputs_S34!$C$26)^-MIN(A48-0.5,$B$6)*(1+Inputs_S34!$C$27)^-MAX(A48-0.5-$B$6,0)</f>
        <v/>
      </c>
      <c r="J48">
        <f>H48*I48</f>
        <v/>
      </c>
    </row>
    <row r="49">
      <c r="A49" t="n">
        <v>31</v>
      </c>
      <c r="B49">
        <f>Inputs_S34!$C$2+A49</f>
        <v/>
      </c>
      <c r="C49">
        <f>$B$5+A49-1</f>
        <v/>
      </c>
      <c r="D49">
        <f>IF(C49&gt;=120,1,MIN(1,IF(A49&lt;=$B$6,IF($B$4="M",Inputs_S34!$C$13,Inputs_S34!$C$14),IF($B$4="M",Inputs_S34!$C$15,Inputs_S34!$C$16))*INDEX(ILT!$B$2:$C$122,MIN(C49,120)+1,IF($B$4="M",1,2))*(1-Inputs_S34!$C$17)^MAX(B49-Inputs_S34!$C$18,0)))</f>
        <v/>
      </c>
      <c r="E49">
        <f>E48*(1-D49)</f>
        <v/>
      </c>
      <c r="F49">
        <f>(E48+E49)/2</f>
        <v/>
      </c>
      <c r="G49">
        <f>IF(A49&lt;$B$6+1,0,IF(A49=$B$6+1,1,G48*(1+IF(B49=Inputs_S34!$C$7,Inputs_S34!$C$8,Inputs_S34!$C$6))))</f>
        <v/>
      </c>
      <c r="H49">
        <f>$B$14*G49*F49</f>
        <v/>
      </c>
      <c r="I49">
        <f>(1+Inputs_S34!$C$26)^-MIN(A49-0.5,$B$6)*(1+Inputs_S34!$C$27)^-MAX(A49-0.5-$B$6,0)</f>
        <v/>
      </c>
      <c r="J49">
        <f>H49*I49</f>
        <v/>
      </c>
    </row>
    <row r="50">
      <c r="A50" t="n">
        <v>32</v>
      </c>
      <c r="B50">
        <f>Inputs_S34!$C$2+A50</f>
        <v/>
      </c>
      <c r="C50">
        <f>$B$5+A50-1</f>
        <v/>
      </c>
      <c r="D50">
        <f>IF(C50&gt;=120,1,MIN(1,IF(A50&lt;=$B$6,IF($B$4="M",Inputs_S34!$C$13,Inputs_S34!$C$14),IF($B$4="M",Inputs_S34!$C$15,Inputs_S34!$C$16))*INDEX(ILT!$B$2:$C$122,MIN(C50,120)+1,IF($B$4="M",1,2))*(1-Inputs_S34!$C$17)^MAX(B50-Inputs_S34!$C$18,0)))</f>
        <v/>
      </c>
      <c r="E50">
        <f>E49*(1-D50)</f>
        <v/>
      </c>
      <c r="F50">
        <f>(E49+E50)/2</f>
        <v/>
      </c>
      <c r="G50">
        <f>IF(A50&lt;$B$6+1,0,IF(A50=$B$6+1,1,G49*(1+IF(B50=Inputs_S34!$C$7,Inputs_S34!$C$8,Inputs_S34!$C$6))))</f>
        <v/>
      </c>
      <c r="H50">
        <f>$B$14*G50*F50</f>
        <v/>
      </c>
      <c r="I50">
        <f>(1+Inputs_S34!$C$26)^-MIN(A50-0.5,$B$6)*(1+Inputs_S34!$C$27)^-MAX(A50-0.5-$B$6,0)</f>
        <v/>
      </c>
      <c r="J50">
        <f>H50*I50</f>
        <v/>
      </c>
    </row>
    <row r="51">
      <c r="A51" t="n">
        <v>33</v>
      </c>
      <c r="B51">
        <f>Inputs_S34!$C$2+A51</f>
        <v/>
      </c>
      <c r="C51">
        <f>$B$5+A51-1</f>
        <v/>
      </c>
      <c r="D51">
        <f>IF(C51&gt;=120,1,MIN(1,IF(A51&lt;=$B$6,IF($B$4="M",Inputs_S34!$C$13,Inputs_S34!$C$14),IF($B$4="M",Inputs_S34!$C$15,Inputs_S34!$C$16))*INDEX(ILT!$B$2:$C$122,MIN(C51,120)+1,IF($B$4="M",1,2))*(1-Inputs_S34!$C$17)^MAX(B51-Inputs_S34!$C$18,0)))</f>
        <v/>
      </c>
      <c r="E51">
        <f>E50*(1-D51)</f>
        <v/>
      </c>
      <c r="F51">
        <f>(E50+E51)/2</f>
        <v/>
      </c>
      <c r="G51">
        <f>IF(A51&lt;$B$6+1,0,IF(A51=$B$6+1,1,G50*(1+IF(B51=Inputs_S34!$C$7,Inputs_S34!$C$8,Inputs_S34!$C$6))))</f>
        <v/>
      </c>
      <c r="H51">
        <f>$B$14*G51*F51</f>
        <v/>
      </c>
      <c r="I51">
        <f>(1+Inputs_S34!$C$26)^-MIN(A51-0.5,$B$6)*(1+Inputs_S34!$C$27)^-MAX(A51-0.5-$B$6,0)</f>
        <v/>
      </c>
      <c r="J51">
        <f>H51*I51</f>
        <v/>
      </c>
    </row>
    <row r="52">
      <c r="A52" t="n">
        <v>34</v>
      </c>
      <c r="B52">
        <f>Inputs_S34!$C$2+A52</f>
        <v/>
      </c>
      <c r="C52">
        <f>$B$5+A52-1</f>
        <v/>
      </c>
      <c r="D52">
        <f>IF(C52&gt;=120,1,MIN(1,IF(A52&lt;=$B$6,IF($B$4="M",Inputs_S34!$C$13,Inputs_S34!$C$14),IF($B$4="M",Inputs_S34!$C$15,Inputs_S34!$C$16))*INDEX(ILT!$B$2:$C$122,MIN(C52,120)+1,IF($B$4="M",1,2))*(1-Inputs_S34!$C$17)^MAX(B52-Inputs_S34!$C$18,0)))</f>
        <v/>
      </c>
      <c r="E52">
        <f>E51*(1-D52)</f>
        <v/>
      </c>
      <c r="F52">
        <f>(E51+E52)/2</f>
        <v/>
      </c>
      <c r="G52">
        <f>IF(A52&lt;$B$6+1,0,IF(A52=$B$6+1,1,G51*(1+IF(B52=Inputs_S34!$C$7,Inputs_S34!$C$8,Inputs_S34!$C$6))))</f>
        <v/>
      </c>
      <c r="H52">
        <f>$B$14*G52*F52</f>
        <v/>
      </c>
      <c r="I52">
        <f>(1+Inputs_S34!$C$26)^-MIN(A52-0.5,$B$6)*(1+Inputs_S34!$C$27)^-MAX(A52-0.5-$B$6,0)</f>
        <v/>
      </c>
      <c r="J52">
        <f>H52*I52</f>
        <v/>
      </c>
    </row>
    <row r="53">
      <c r="A53" t="n">
        <v>35</v>
      </c>
      <c r="B53">
        <f>Inputs_S34!$C$2+A53</f>
        <v/>
      </c>
      <c r="C53">
        <f>$B$5+A53-1</f>
        <v/>
      </c>
      <c r="D53">
        <f>IF(C53&gt;=120,1,MIN(1,IF(A53&lt;=$B$6,IF($B$4="M",Inputs_S34!$C$13,Inputs_S34!$C$14),IF($B$4="M",Inputs_S34!$C$15,Inputs_S34!$C$16))*INDEX(ILT!$B$2:$C$122,MIN(C53,120)+1,IF($B$4="M",1,2))*(1-Inputs_S34!$C$17)^MAX(B53-Inputs_S34!$C$18,0)))</f>
        <v/>
      </c>
      <c r="E53">
        <f>E52*(1-D53)</f>
        <v/>
      </c>
      <c r="F53">
        <f>(E52+E53)/2</f>
        <v/>
      </c>
      <c r="G53">
        <f>IF(A53&lt;$B$6+1,0,IF(A53=$B$6+1,1,G52*(1+IF(B53=Inputs_S34!$C$7,Inputs_S34!$C$8,Inputs_S34!$C$6))))</f>
        <v/>
      </c>
      <c r="H53">
        <f>$B$14*G53*F53</f>
        <v/>
      </c>
      <c r="I53">
        <f>(1+Inputs_S34!$C$26)^-MIN(A53-0.5,$B$6)*(1+Inputs_S34!$C$27)^-MAX(A53-0.5-$B$6,0)</f>
        <v/>
      </c>
      <c r="J53">
        <f>H53*I53</f>
        <v/>
      </c>
    </row>
    <row r="54">
      <c r="A54" t="n">
        <v>36</v>
      </c>
      <c r="B54">
        <f>Inputs_S34!$C$2+A54</f>
        <v/>
      </c>
      <c r="C54">
        <f>$B$5+A54-1</f>
        <v/>
      </c>
      <c r="D54">
        <f>IF(C54&gt;=120,1,MIN(1,IF(A54&lt;=$B$6,IF($B$4="M",Inputs_S34!$C$13,Inputs_S34!$C$14),IF($B$4="M",Inputs_S34!$C$15,Inputs_S34!$C$16))*INDEX(ILT!$B$2:$C$122,MIN(C54,120)+1,IF($B$4="M",1,2))*(1-Inputs_S34!$C$17)^MAX(B54-Inputs_S34!$C$18,0)))</f>
        <v/>
      </c>
      <c r="E54">
        <f>E53*(1-D54)</f>
        <v/>
      </c>
      <c r="F54">
        <f>(E53+E54)/2</f>
        <v/>
      </c>
      <c r="G54">
        <f>IF(A54&lt;$B$6+1,0,IF(A54=$B$6+1,1,G53*(1+IF(B54=Inputs_S34!$C$7,Inputs_S34!$C$8,Inputs_S34!$C$6))))</f>
        <v/>
      </c>
      <c r="H54">
        <f>$B$14*G54*F54</f>
        <v/>
      </c>
      <c r="I54">
        <f>(1+Inputs_S34!$C$26)^-MIN(A54-0.5,$B$6)*(1+Inputs_S34!$C$27)^-MAX(A54-0.5-$B$6,0)</f>
        <v/>
      </c>
      <c r="J54">
        <f>H54*I54</f>
        <v/>
      </c>
    </row>
    <row r="55">
      <c r="A55" t="n">
        <v>37</v>
      </c>
      <c r="B55">
        <f>Inputs_S34!$C$2+A55</f>
        <v/>
      </c>
      <c r="C55">
        <f>$B$5+A55-1</f>
        <v/>
      </c>
      <c r="D55">
        <f>IF(C55&gt;=120,1,MIN(1,IF(A55&lt;=$B$6,IF($B$4="M",Inputs_S34!$C$13,Inputs_S34!$C$14),IF($B$4="M",Inputs_S34!$C$15,Inputs_S34!$C$16))*INDEX(ILT!$B$2:$C$122,MIN(C55,120)+1,IF($B$4="M",1,2))*(1-Inputs_S34!$C$17)^MAX(B55-Inputs_S34!$C$18,0)))</f>
        <v/>
      </c>
      <c r="E55">
        <f>E54*(1-D55)</f>
        <v/>
      </c>
      <c r="F55">
        <f>(E54+E55)/2</f>
        <v/>
      </c>
      <c r="G55">
        <f>IF(A55&lt;$B$6+1,0,IF(A55=$B$6+1,1,G54*(1+IF(B55=Inputs_S34!$C$7,Inputs_S34!$C$8,Inputs_S34!$C$6))))</f>
        <v/>
      </c>
      <c r="H55">
        <f>$B$14*G55*F55</f>
        <v/>
      </c>
      <c r="I55">
        <f>(1+Inputs_S34!$C$26)^-MIN(A55-0.5,$B$6)*(1+Inputs_S34!$C$27)^-MAX(A55-0.5-$B$6,0)</f>
        <v/>
      </c>
      <c r="J55">
        <f>H55*I55</f>
        <v/>
      </c>
    </row>
    <row r="56">
      <c r="A56" t="n">
        <v>38</v>
      </c>
      <c r="B56">
        <f>Inputs_S34!$C$2+A56</f>
        <v/>
      </c>
      <c r="C56">
        <f>$B$5+A56-1</f>
        <v/>
      </c>
      <c r="D56">
        <f>IF(C56&gt;=120,1,MIN(1,IF(A56&lt;=$B$6,IF($B$4="M",Inputs_S34!$C$13,Inputs_S34!$C$14),IF($B$4="M",Inputs_S34!$C$15,Inputs_S34!$C$16))*INDEX(ILT!$B$2:$C$122,MIN(C56,120)+1,IF($B$4="M",1,2))*(1-Inputs_S34!$C$17)^MAX(B56-Inputs_S34!$C$18,0)))</f>
        <v/>
      </c>
      <c r="E56">
        <f>E55*(1-D56)</f>
        <v/>
      </c>
      <c r="F56">
        <f>(E55+E56)/2</f>
        <v/>
      </c>
      <c r="G56">
        <f>IF(A56&lt;$B$6+1,0,IF(A56=$B$6+1,1,G55*(1+IF(B56=Inputs_S34!$C$7,Inputs_S34!$C$8,Inputs_S34!$C$6))))</f>
        <v/>
      </c>
      <c r="H56">
        <f>$B$14*G56*F56</f>
        <v/>
      </c>
      <c r="I56">
        <f>(1+Inputs_S34!$C$26)^-MIN(A56-0.5,$B$6)*(1+Inputs_S34!$C$27)^-MAX(A56-0.5-$B$6,0)</f>
        <v/>
      </c>
      <c r="J56">
        <f>H56*I56</f>
        <v/>
      </c>
    </row>
    <row r="57">
      <c r="A57" t="n">
        <v>39</v>
      </c>
      <c r="B57">
        <f>Inputs_S34!$C$2+A57</f>
        <v/>
      </c>
      <c r="C57">
        <f>$B$5+A57-1</f>
        <v/>
      </c>
      <c r="D57">
        <f>IF(C57&gt;=120,1,MIN(1,IF(A57&lt;=$B$6,IF($B$4="M",Inputs_S34!$C$13,Inputs_S34!$C$14),IF($B$4="M",Inputs_S34!$C$15,Inputs_S34!$C$16))*INDEX(ILT!$B$2:$C$122,MIN(C57,120)+1,IF($B$4="M",1,2))*(1-Inputs_S34!$C$17)^MAX(B57-Inputs_S34!$C$18,0)))</f>
        <v/>
      </c>
      <c r="E57">
        <f>E56*(1-D57)</f>
        <v/>
      </c>
      <c r="F57">
        <f>(E56+E57)/2</f>
        <v/>
      </c>
      <c r="G57">
        <f>IF(A57&lt;$B$6+1,0,IF(A57=$B$6+1,1,G56*(1+IF(B57=Inputs_S34!$C$7,Inputs_S34!$C$8,Inputs_S34!$C$6))))</f>
        <v/>
      </c>
      <c r="H57">
        <f>$B$14*G57*F57</f>
        <v/>
      </c>
      <c r="I57">
        <f>(1+Inputs_S34!$C$26)^-MIN(A57-0.5,$B$6)*(1+Inputs_S34!$C$27)^-MAX(A57-0.5-$B$6,0)</f>
        <v/>
      </c>
      <c r="J57">
        <f>H57*I57</f>
        <v/>
      </c>
    </row>
    <row r="58">
      <c r="A58" t="n">
        <v>40</v>
      </c>
      <c r="B58">
        <f>Inputs_S34!$C$2+A58</f>
        <v/>
      </c>
      <c r="C58">
        <f>$B$5+A58-1</f>
        <v/>
      </c>
      <c r="D58">
        <f>IF(C58&gt;=120,1,MIN(1,IF(A58&lt;=$B$6,IF($B$4="M",Inputs_S34!$C$13,Inputs_S34!$C$14),IF($B$4="M",Inputs_S34!$C$15,Inputs_S34!$C$16))*INDEX(ILT!$B$2:$C$122,MIN(C58,120)+1,IF($B$4="M",1,2))*(1-Inputs_S34!$C$17)^MAX(B58-Inputs_S34!$C$18,0)))</f>
        <v/>
      </c>
      <c r="E58">
        <f>E57*(1-D58)</f>
        <v/>
      </c>
      <c r="F58">
        <f>(E57+E58)/2</f>
        <v/>
      </c>
      <c r="G58">
        <f>IF(A58&lt;$B$6+1,0,IF(A58=$B$6+1,1,G57*(1+IF(B58=Inputs_S34!$C$7,Inputs_S34!$C$8,Inputs_S34!$C$6))))</f>
        <v/>
      </c>
      <c r="H58">
        <f>$B$14*G58*F58</f>
        <v/>
      </c>
      <c r="I58">
        <f>(1+Inputs_S34!$C$26)^-MIN(A58-0.5,$B$6)*(1+Inputs_S34!$C$27)^-MAX(A58-0.5-$B$6,0)</f>
        <v/>
      </c>
      <c r="J58">
        <f>H58*I58</f>
        <v/>
      </c>
    </row>
    <row r="59">
      <c r="A59" t="n">
        <v>41</v>
      </c>
      <c r="B59">
        <f>Inputs_S34!$C$2+A59</f>
        <v/>
      </c>
      <c r="C59">
        <f>$B$5+A59-1</f>
        <v/>
      </c>
      <c r="D59">
        <f>IF(C59&gt;=120,1,MIN(1,IF(A59&lt;=$B$6,IF($B$4="M",Inputs_S34!$C$13,Inputs_S34!$C$14),IF($B$4="M",Inputs_S34!$C$15,Inputs_S34!$C$16))*INDEX(ILT!$B$2:$C$122,MIN(C59,120)+1,IF($B$4="M",1,2))*(1-Inputs_S34!$C$17)^MAX(B59-Inputs_S34!$C$18,0)))</f>
        <v/>
      </c>
      <c r="E59">
        <f>E58*(1-D59)</f>
        <v/>
      </c>
      <c r="F59">
        <f>(E58+E59)/2</f>
        <v/>
      </c>
      <c r="G59">
        <f>IF(A59&lt;$B$6+1,0,IF(A59=$B$6+1,1,G58*(1+IF(B59=Inputs_S34!$C$7,Inputs_S34!$C$8,Inputs_S34!$C$6))))</f>
        <v/>
      </c>
      <c r="H59">
        <f>$B$14*G59*F59</f>
        <v/>
      </c>
      <c r="I59">
        <f>(1+Inputs_S34!$C$26)^-MIN(A59-0.5,$B$6)*(1+Inputs_S34!$C$27)^-MAX(A59-0.5-$B$6,0)</f>
        <v/>
      </c>
      <c r="J59">
        <f>H59*I59</f>
        <v/>
      </c>
    </row>
    <row r="60">
      <c r="A60" t="n">
        <v>42</v>
      </c>
      <c r="B60">
        <f>Inputs_S34!$C$2+A60</f>
        <v/>
      </c>
      <c r="C60">
        <f>$B$5+A60-1</f>
        <v/>
      </c>
      <c r="D60">
        <f>IF(C60&gt;=120,1,MIN(1,IF(A60&lt;=$B$6,IF($B$4="M",Inputs_S34!$C$13,Inputs_S34!$C$14),IF($B$4="M",Inputs_S34!$C$15,Inputs_S34!$C$16))*INDEX(ILT!$B$2:$C$122,MIN(C60,120)+1,IF($B$4="M",1,2))*(1-Inputs_S34!$C$17)^MAX(B60-Inputs_S34!$C$18,0)))</f>
        <v/>
      </c>
      <c r="E60">
        <f>E59*(1-D60)</f>
        <v/>
      </c>
      <c r="F60">
        <f>(E59+E60)/2</f>
        <v/>
      </c>
      <c r="G60">
        <f>IF(A60&lt;$B$6+1,0,IF(A60=$B$6+1,1,G59*(1+IF(B60=Inputs_S34!$C$7,Inputs_S34!$C$8,Inputs_S34!$C$6))))</f>
        <v/>
      </c>
      <c r="H60">
        <f>$B$14*G60*F60</f>
        <v/>
      </c>
      <c r="I60">
        <f>(1+Inputs_S34!$C$26)^-MIN(A60-0.5,$B$6)*(1+Inputs_S34!$C$27)^-MAX(A60-0.5-$B$6,0)</f>
        <v/>
      </c>
      <c r="J60">
        <f>H60*I60</f>
        <v/>
      </c>
    </row>
    <row r="61">
      <c r="A61" t="n">
        <v>43</v>
      </c>
      <c r="B61">
        <f>Inputs_S34!$C$2+A61</f>
        <v/>
      </c>
      <c r="C61">
        <f>$B$5+A61-1</f>
        <v/>
      </c>
      <c r="D61">
        <f>IF(C61&gt;=120,1,MIN(1,IF(A61&lt;=$B$6,IF($B$4="M",Inputs_S34!$C$13,Inputs_S34!$C$14),IF($B$4="M",Inputs_S34!$C$15,Inputs_S34!$C$16))*INDEX(ILT!$B$2:$C$122,MIN(C61,120)+1,IF($B$4="M",1,2))*(1-Inputs_S34!$C$17)^MAX(B61-Inputs_S34!$C$18,0)))</f>
        <v/>
      </c>
      <c r="E61">
        <f>E60*(1-D61)</f>
        <v/>
      </c>
      <c r="F61">
        <f>(E60+E61)/2</f>
        <v/>
      </c>
      <c r="G61">
        <f>IF(A61&lt;$B$6+1,0,IF(A61=$B$6+1,1,G60*(1+IF(B61=Inputs_S34!$C$7,Inputs_S34!$C$8,Inputs_S34!$C$6))))</f>
        <v/>
      </c>
      <c r="H61">
        <f>$B$14*G61*F61</f>
        <v/>
      </c>
      <c r="I61">
        <f>(1+Inputs_S34!$C$26)^-MIN(A61-0.5,$B$6)*(1+Inputs_S34!$C$27)^-MAX(A61-0.5-$B$6,0)</f>
        <v/>
      </c>
      <c r="J61">
        <f>H61*I61</f>
        <v/>
      </c>
    </row>
    <row r="62">
      <c r="A62" t="n">
        <v>44</v>
      </c>
      <c r="B62">
        <f>Inputs_S34!$C$2+A62</f>
        <v/>
      </c>
      <c r="C62">
        <f>$B$5+A62-1</f>
        <v/>
      </c>
      <c r="D62">
        <f>IF(C62&gt;=120,1,MIN(1,IF(A62&lt;=$B$6,IF($B$4="M",Inputs_S34!$C$13,Inputs_S34!$C$14),IF($B$4="M",Inputs_S34!$C$15,Inputs_S34!$C$16))*INDEX(ILT!$B$2:$C$122,MIN(C62,120)+1,IF($B$4="M",1,2))*(1-Inputs_S34!$C$17)^MAX(B62-Inputs_S34!$C$18,0)))</f>
        <v/>
      </c>
      <c r="E62">
        <f>E61*(1-D62)</f>
        <v/>
      </c>
      <c r="F62">
        <f>(E61+E62)/2</f>
        <v/>
      </c>
      <c r="G62">
        <f>IF(A62&lt;$B$6+1,0,IF(A62=$B$6+1,1,G61*(1+IF(B62=Inputs_S34!$C$7,Inputs_S34!$C$8,Inputs_S34!$C$6))))</f>
        <v/>
      </c>
      <c r="H62">
        <f>$B$14*G62*F62</f>
        <v/>
      </c>
      <c r="I62">
        <f>(1+Inputs_S34!$C$26)^-MIN(A62-0.5,$B$6)*(1+Inputs_S34!$C$27)^-MAX(A62-0.5-$B$6,0)</f>
        <v/>
      </c>
      <c r="J62">
        <f>H62*I62</f>
        <v/>
      </c>
    </row>
    <row r="63">
      <c r="A63" t="n">
        <v>45</v>
      </c>
      <c r="B63">
        <f>Inputs_S34!$C$2+A63</f>
        <v/>
      </c>
      <c r="C63">
        <f>$B$5+A63-1</f>
        <v/>
      </c>
      <c r="D63">
        <f>IF(C63&gt;=120,1,MIN(1,IF(A63&lt;=$B$6,IF($B$4="M",Inputs_S34!$C$13,Inputs_S34!$C$14),IF($B$4="M",Inputs_S34!$C$15,Inputs_S34!$C$16))*INDEX(ILT!$B$2:$C$122,MIN(C63,120)+1,IF($B$4="M",1,2))*(1-Inputs_S34!$C$17)^MAX(B63-Inputs_S34!$C$18,0)))</f>
        <v/>
      </c>
      <c r="E63">
        <f>E62*(1-D63)</f>
        <v/>
      </c>
      <c r="F63">
        <f>(E62+E63)/2</f>
        <v/>
      </c>
      <c r="G63">
        <f>IF(A63&lt;$B$6+1,0,IF(A63=$B$6+1,1,G62*(1+IF(B63=Inputs_S34!$C$7,Inputs_S34!$C$8,Inputs_S34!$C$6))))</f>
        <v/>
      </c>
      <c r="H63">
        <f>$B$14*G63*F63</f>
        <v/>
      </c>
      <c r="I63">
        <f>(1+Inputs_S34!$C$26)^-MIN(A63-0.5,$B$6)*(1+Inputs_S34!$C$27)^-MAX(A63-0.5-$B$6,0)</f>
        <v/>
      </c>
      <c r="J63">
        <f>H63*I63</f>
        <v/>
      </c>
    </row>
    <row r="64">
      <c r="A64" t="n">
        <v>46</v>
      </c>
      <c r="B64">
        <f>Inputs_S34!$C$2+A64</f>
        <v/>
      </c>
      <c r="C64">
        <f>$B$5+A64-1</f>
        <v/>
      </c>
      <c r="D64">
        <f>IF(C64&gt;=120,1,MIN(1,IF(A64&lt;=$B$6,IF($B$4="M",Inputs_S34!$C$13,Inputs_S34!$C$14),IF($B$4="M",Inputs_S34!$C$15,Inputs_S34!$C$16))*INDEX(ILT!$B$2:$C$122,MIN(C64,120)+1,IF($B$4="M",1,2))*(1-Inputs_S34!$C$17)^MAX(B64-Inputs_S34!$C$18,0)))</f>
        <v/>
      </c>
      <c r="E64">
        <f>E63*(1-D64)</f>
        <v/>
      </c>
      <c r="F64">
        <f>(E63+E64)/2</f>
        <v/>
      </c>
      <c r="G64">
        <f>IF(A64&lt;$B$6+1,0,IF(A64=$B$6+1,1,G63*(1+IF(B64=Inputs_S34!$C$7,Inputs_S34!$C$8,Inputs_S34!$C$6))))</f>
        <v/>
      </c>
      <c r="H64">
        <f>$B$14*G64*F64</f>
        <v/>
      </c>
      <c r="I64">
        <f>(1+Inputs_S34!$C$26)^-MIN(A64-0.5,$B$6)*(1+Inputs_S34!$C$27)^-MAX(A64-0.5-$B$6,0)</f>
        <v/>
      </c>
      <c r="J64">
        <f>H64*I64</f>
        <v/>
      </c>
    </row>
    <row r="65">
      <c r="A65" t="n">
        <v>47</v>
      </c>
      <c r="B65">
        <f>Inputs_S34!$C$2+A65</f>
        <v/>
      </c>
      <c r="C65">
        <f>$B$5+A65-1</f>
        <v/>
      </c>
      <c r="D65">
        <f>IF(C65&gt;=120,1,MIN(1,IF(A65&lt;=$B$6,IF($B$4="M",Inputs_S34!$C$13,Inputs_S34!$C$14),IF($B$4="M",Inputs_S34!$C$15,Inputs_S34!$C$16))*INDEX(ILT!$B$2:$C$122,MIN(C65,120)+1,IF($B$4="M",1,2))*(1-Inputs_S34!$C$17)^MAX(B65-Inputs_S34!$C$18,0)))</f>
        <v/>
      </c>
      <c r="E65">
        <f>E64*(1-D65)</f>
        <v/>
      </c>
      <c r="F65">
        <f>(E64+E65)/2</f>
        <v/>
      </c>
      <c r="G65">
        <f>IF(A65&lt;$B$6+1,0,IF(A65=$B$6+1,1,G64*(1+IF(B65=Inputs_S34!$C$7,Inputs_S34!$C$8,Inputs_S34!$C$6))))</f>
        <v/>
      </c>
      <c r="H65">
        <f>$B$14*G65*F65</f>
        <v/>
      </c>
      <c r="I65">
        <f>(1+Inputs_S34!$C$26)^-MIN(A65-0.5,$B$6)*(1+Inputs_S34!$C$27)^-MAX(A65-0.5-$B$6,0)</f>
        <v/>
      </c>
      <c r="J65">
        <f>H65*I65</f>
        <v/>
      </c>
    </row>
    <row r="66">
      <c r="A66" t="n">
        <v>48</v>
      </c>
      <c r="B66">
        <f>Inputs_S34!$C$2+A66</f>
        <v/>
      </c>
      <c r="C66">
        <f>$B$5+A66-1</f>
        <v/>
      </c>
      <c r="D66">
        <f>IF(C66&gt;=120,1,MIN(1,IF(A66&lt;=$B$6,IF($B$4="M",Inputs_S34!$C$13,Inputs_S34!$C$14),IF($B$4="M",Inputs_S34!$C$15,Inputs_S34!$C$16))*INDEX(ILT!$B$2:$C$122,MIN(C66,120)+1,IF($B$4="M",1,2))*(1-Inputs_S34!$C$17)^MAX(B66-Inputs_S34!$C$18,0)))</f>
        <v/>
      </c>
      <c r="E66">
        <f>E65*(1-D66)</f>
        <v/>
      </c>
      <c r="F66">
        <f>(E65+E66)/2</f>
        <v/>
      </c>
      <c r="G66">
        <f>IF(A66&lt;$B$6+1,0,IF(A66=$B$6+1,1,G65*(1+IF(B66=Inputs_S34!$C$7,Inputs_S34!$C$8,Inputs_S34!$C$6))))</f>
        <v/>
      </c>
      <c r="H66">
        <f>$B$14*G66*F66</f>
        <v/>
      </c>
      <c r="I66">
        <f>(1+Inputs_S34!$C$26)^-MIN(A66-0.5,$B$6)*(1+Inputs_S34!$C$27)^-MAX(A66-0.5-$B$6,0)</f>
        <v/>
      </c>
      <c r="J66">
        <f>H66*I66</f>
        <v/>
      </c>
    </row>
    <row r="67">
      <c r="A67" t="n">
        <v>49</v>
      </c>
      <c r="B67">
        <f>Inputs_S34!$C$2+A67</f>
        <v/>
      </c>
      <c r="C67">
        <f>$B$5+A67-1</f>
        <v/>
      </c>
      <c r="D67">
        <f>IF(C67&gt;=120,1,MIN(1,IF(A67&lt;=$B$6,IF($B$4="M",Inputs_S34!$C$13,Inputs_S34!$C$14),IF($B$4="M",Inputs_S34!$C$15,Inputs_S34!$C$16))*INDEX(ILT!$B$2:$C$122,MIN(C67,120)+1,IF($B$4="M",1,2))*(1-Inputs_S34!$C$17)^MAX(B67-Inputs_S34!$C$18,0)))</f>
        <v/>
      </c>
      <c r="E67">
        <f>E66*(1-D67)</f>
        <v/>
      </c>
      <c r="F67">
        <f>(E66+E67)/2</f>
        <v/>
      </c>
      <c r="G67">
        <f>IF(A67&lt;$B$6+1,0,IF(A67=$B$6+1,1,G66*(1+IF(B67=Inputs_S34!$C$7,Inputs_S34!$C$8,Inputs_S34!$C$6))))</f>
        <v/>
      </c>
      <c r="H67">
        <f>$B$14*G67*F67</f>
        <v/>
      </c>
      <c r="I67">
        <f>(1+Inputs_S34!$C$26)^-MIN(A67-0.5,$B$6)*(1+Inputs_S34!$C$27)^-MAX(A67-0.5-$B$6,0)</f>
        <v/>
      </c>
      <c r="J67">
        <f>H67*I67</f>
        <v/>
      </c>
    </row>
    <row r="68">
      <c r="A68" t="n">
        <v>50</v>
      </c>
      <c r="B68">
        <f>Inputs_S34!$C$2+A68</f>
        <v/>
      </c>
      <c r="C68">
        <f>$B$5+A68-1</f>
        <v/>
      </c>
      <c r="D68">
        <f>IF(C68&gt;=120,1,MIN(1,IF(A68&lt;=$B$6,IF($B$4="M",Inputs_S34!$C$13,Inputs_S34!$C$14),IF($B$4="M",Inputs_S34!$C$15,Inputs_S34!$C$16))*INDEX(ILT!$B$2:$C$122,MIN(C68,120)+1,IF($B$4="M",1,2))*(1-Inputs_S34!$C$17)^MAX(B68-Inputs_S34!$C$18,0)))</f>
        <v/>
      </c>
      <c r="E68">
        <f>E67*(1-D68)</f>
        <v/>
      </c>
      <c r="F68">
        <f>(E67+E68)/2</f>
        <v/>
      </c>
      <c r="G68">
        <f>IF(A68&lt;$B$6+1,0,IF(A68=$B$6+1,1,G67*(1+IF(B68=Inputs_S34!$C$7,Inputs_S34!$C$8,Inputs_S34!$C$6))))</f>
        <v/>
      </c>
      <c r="H68">
        <f>$B$14*G68*F68</f>
        <v/>
      </c>
      <c r="I68">
        <f>(1+Inputs_S34!$C$26)^-MIN(A68-0.5,$B$6)*(1+Inputs_S34!$C$27)^-MAX(A68-0.5-$B$6,0)</f>
        <v/>
      </c>
      <c r="J68">
        <f>H68*I68</f>
        <v/>
      </c>
    </row>
    <row r="69">
      <c r="A69" t="n">
        <v>51</v>
      </c>
      <c r="B69">
        <f>Inputs_S34!$C$2+A69</f>
        <v/>
      </c>
      <c r="C69">
        <f>$B$5+A69-1</f>
        <v/>
      </c>
      <c r="D69">
        <f>IF(C69&gt;=120,1,MIN(1,IF(A69&lt;=$B$6,IF($B$4="M",Inputs_S34!$C$13,Inputs_S34!$C$14),IF($B$4="M",Inputs_S34!$C$15,Inputs_S34!$C$16))*INDEX(ILT!$B$2:$C$122,MIN(C69,120)+1,IF($B$4="M",1,2))*(1-Inputs_S34!$C$17)^MAX(B69-Inputs_S34!$C$18,0)))</f>
        <v/>
      </c>
      <c r="E69">
        <f>E68*(1-D69)</f>
        <v/>
      </c>
      <c r="F69">
        <f>(E68+E69)/2</f>
        <v/>
      </c>
      <c r="G69">
        <f>IF(A69&lt;$B$6+1,0,IF(A69=$B$6+1,1,G68*(1+IF(B69=Inputs_S34!$C$7,Inputs_S34!$C$8,Inputs_S34!$C$6))))</f>
        <v/>
      </c>
      <c r="H69">
        <f>$B$14*G69*F69</f>
        <v/>
      </c>
      <c r="I69">
        <f>(1+Inputs_S34!$C$26)^-MIN(A69-0.5,$B$6)*(1+Inputs_S34!$C$27)^-MAX(A69-0.5-$B$6,0)</f>
        <v/>
      </c>
      <c r="J69">
        <f>H69*I69</f>
        <v/>
      </c>
    </row>
    <row r="70">
      <c r="A70" t="n">
        <v>52</v>
      </c>
      <c r="B70">
        <f>Inputs_S34!$C$2+A70</f>
        <v/>
      </c>
      <c r="C70">
        <f>$B$5+A70-1</f>
        <v/>
      </c>
      <c r="D70">
        <f>IF(C70&gt;=120,1,MIN(1,IF(A70&lt;=$B$6,IF($B$4="M",Inputs_S34!$C$13,Inputs_S34!$C$14),IF($B$4="M",Inputs_S34!$C$15,Inputs_S34!$C$16))*INDEX(ILT!$B$2:$C$122,MIN(C70,120)+1,IF($B$4="M",1,2))*(1-Inputs_S34!$C$17)^MAX(B70-Inputs_S34!$C$18,0)))</f>
        <v/>
      </c>
      <c r="E70">
        <f>E69*(1-D70)</f>
        <v/>
      </c>
      <c r="F70">
        <f>(E69+E70)/2</f>
        <v/>
      </c>
      <c r="G70">
        <f>IF(A70&lt;$B$6+1,0,IF(A70=$B$6+1,1,G69*(1+IF(B70=Inputs_S34!$C$7,Inputs_S34!$C$8,Inputs_S34!$C$6))))</f>
        <v/>
      </c>
      <c r="H70">
        <f>$B$14*G70*F70</f>
        <v/>
      </c>
      <c r="I70">
        <f>(1+Inputs_S34!$C$26)^-MIN(A70-0.5,$B$6)*(1+Inputs_S34!$C$27)^-MAX(A70-0.5-$B$6,0)</f>
        <v/>
      </c>
      <c r="J70">
        <f>H70*I70</f>
        <v/>
      </c>
    </row>
    <row r="71">
      <c r="A71" t="n">
        <v>53</v>
      </c>
      <c r="B71">
        <f>Inputs_S34!$C$2+A71</f>
        <v/>
      </c>
      <c r="C71">
        <f>$B$5+A71-1</f>
        <v/>
      </c>
      <c r="D71">
        <f>IF(C71&gt;=120,1,MIN(1,IF(A71&lt;=$B$6,IF($B$4="M",Inputs_S34!$C$13,Inputs_S34!$C$14),IF($B$4="M",Inputs_S34!$C$15,Inputs_S34!$C$16))*INDEX(ILT!$B$2:$C$122,MIN(C71,120)+1,IF($B$4="M",1,2))*(1-Inputs_S34!$C$17)^MAX(B71-Inputs_S34!$C$18,0)))</f>
        <v/>
      </c>
      <c r="E71">
        <f>E70*(1-D71)</f>
        <v/>
      </c>
      <c r="F71">
        <f>(E70+E71)/2</f>
        <v/>
      </c>
      <c r="G71">
        <f>IF(A71&lt;$B$6+1,0,IF(A71=$B$6+1,1,G70*(1+IF(B71=Inputs_S34!$C$7,Inputs_S34!$C$8,Inputs_S34!$C$6))))</f>
        <v/>
      </c>
      <c r="H71">
        <f>$B$14*G71*F71</f>
        <v/>
      </c>
      <c r="I71">
        <f>(1+Inputs_S34!$C$26)^-MIN(A71-0.5,$B$6)*(1+Inputs_S34!$C$27)^-MAX(A71-0.5-$B$6,0)</f>
        <v/>
      </c>
      <c r="J71">
        <f>H71*I71</f>
        <v/>
      </c>
    </row>
    <row r="72">
      <c r="A72" t="n">
        <v>54</v>
      </c>
      <c r="B72">
        <f>Inputs_S34!$C$2+A72</f>
        <v/>
      </c>
      <c r="C72">
        <f>$B$5+A72-1</f>
        <v/>
      </c>
      <c r="D72">
        <f>IF(C72&gt;=120,1,MIN(1,IF(A72&lt;=$B$6,IF($B$4="M",Inputs_S34!$C$13,Inputs_S34!$C$14),IF($B$4="M",Inputs_S34!$C$15,Inputs_S34!$C$16))*INDEX(ILT!$B$2:$C$122,MIN(C72,120)+1,IF($B$4="M",1,2))*(1-Inputs_S34!$C$17)^MAX(B72-Inputs_S34!$C$18,0)))</f>
        <v/>
      </c>
      <c r="E72">
        <f>E71*(1-D72)</f>
        <v/>
      </c>
      <c r="F72">
        <f>(E71+E72)/2</f>
        <v/>
      </c>
      <c r="G72">
        <f>IF(A72&lt;$B$6+1,0,IF(A72=$B$6+1,1,G71*(1+IF(B72=Inputs_S34!$C$7,Inputs_S34!$C$8,Inputs_S34!$C$6))))</f>
        <v/>
      </c>
      <c r="H72">
        <f>$B$14*G72*F72</f>
        <v/>
      </c>
      <c r="I72">
        <f>(1+Inputs_S34!$C$26)^-MIN(A72-0.5,$B$6)*(1+Inputs_S34!$C$27)^-MAX(A72-0.5-$B$6,0)</f>
        <v/>
      </c>
      <c r="J72">
        <f>H72*I72</f>
        <v/>
      </c>
    </row>
    <row r="73">
      <c r="A73" t="n">
        <v>55</v>
      </c>
      <c r="B73">
        <f>Inputs_S34!$C$2+A73</f>
        <v/>
      </c>
      <c r="C73">
        <f>$B$5+A73-1</f>
        <v/>
      </c>
      <c r="D73">
        <f>IF(C73&gt;=120,1,MIN(1,IF(A73&lt;=$B$6,IF($B$4="M",Inputs_S34!$C$13,Inputs_S34!$C$14),IF($B$4="M",Inputs_S34!$C$15,Inputs_S34!$C$16))*INDEX(ILT!$B$2:$C$122,MIN(C73,120)+1,IF($B$4="M",1,2))*(1-Inputs_S34!$C$17)^MAX(B73-Inputs_S34!$C$18,0)))</f>
        <v/>
      </c>
      <c r="E73">
        <f>E72*(1-D73)</f>
        <v/>
      </c>
      <c r="F73">
        <f>(E72+E73)/2</f>
        <v/>
      </c>
      <c r="G73">
        <f>IF(A73&lt;$B$6+1,0,IF(A73=$B$6+1,1,G72*(1+IF(B73=Inputs_S34!$C$7,Inputs_S34!$C$8,Inputs_S34!$C$6))))</f>
        <v/>
      </c>
      <c r="H73">
        <f>$B$14*G73*F73</f>
        <v/>
      </c>
      <c r="I73">
        <f>(1+Inputs_S34!$C$26)^-MIN(A73-0.5,$B$6)*(1+Inputs_S34!$C$27)^-MAX(A73-0.5-$B$6,0)</f>
        <v/>
      </c>
      <c r="J73">
        <f>H73*I73</f>
        <v/>
      </c>
    </row>
    <row r="74">
      <c r="A74" t="n">
        <v>56</v>
      </c>
      <c r="B74">
        <f>Inputs_S34!$C$2+A74</f>
        <v/>
      </c>
      <c r="C74">
        <f>$B$5+A74-1</f>
        <v/>
      </c>
      <c r="D74">
        <f>IF(C74&gt;=120,1,MIN(1,IF(A74&lt;=$B$6,IF($B$4="M",Inputs_S34!$C$13,Inputs_S34!$C$14),IF($B$4="M",Inputs_S34!$C$15,Inputs_S34!$C$16))*INDEX(ILT!$B$2:$C$122,MIN(C74,120)+1,IF($B$4="M",1,2))*(1-Inputs_S34!$C$17)^MAX(B74-Inputs_S34!$C$18,0)))</f>
        <v/>
      </c>
      <c r="E74">
        <f>E73*(1-D74)</f>
        <v/>
      </c>
      <c r="F74">
        <f>(E73+E74)/2</f>
        <v/>
      </c>
      <c r="G74">
        <f>IF(A74&lt;$B$6+1,0,IF(A74=$B$6+1,1,G73*(1+IF(B74=Inputs_S34!$C$7,Inputs_S34!$C$8,Inputs_S34!$C$6))))</f>
        <v/>
      </c>
      <c r="H74">
        <f>$B$14*G74*F74</f>
        <v/>
      </c>
      <c r="I74">
        <f>(1+Inputs_S34!$C$26)^-MIN(A74-0.5,$B$6)*(1+Inputs_S34!$C$27)^-MAX(A74-0.5-$B$6,0)</f>
        <v/>
      </c>
      <c r="J74">
        <f>H74*I74</f>
        <v/>
      </c>
    </row>
    <row r="75">
      <c r="A75" t="n">
        <v>57</v>
      </c>
      <c r="B75">
        <f>Inputs_S34!$C$2+A75</f>
        <v/>
      </c>
      <c r="C75">
        <f>$B$5+A75-1</f>
        <v/>
      </c>
      <c r="D75">
        <f>IF(C75&gt;=120,1,MIN(1,IF(A75&lt;=$B$6,IF($B$4="M",Inputs_S34!$C$13,Inputs_S34!$C$14),IF($B$4="M",Inputs_S34!$C$15,Inputs_S34!$C$16))*INDEX(ILT!$B$2:$C$122,MIN(C75,120)+1,IF($B$4="M",1,2))*(1-Inputs_S34!$C$17)^MAX(B75-Inputs_S34!$C$18,0)))</f>
        <v/>
      </c>
      <c r="E75">
        <f>E74*(1-D75)</f>
        <v/>
      </c>
      <c r="F75">
        <f>(E74+E75)/2</f>
        <v/>
      </c>
      <c r="G75">
        <f>IF(A75&lt;$B$6+1,0,IF(A75=$B$6+1,1,G74*(1+IF(B75=Inputs_S34!$C$7,Inputs_S34!$C$8,Inputs_S34!$C$6))))</f>
        <v/>
      </c>
      <c r="H75">
        <f>$B$14*G75*F75</f>
        <v/>
      </c>
      <c r="I75">
        <f>(1+Inputs_S34!$C$26)^-MIN(A75-0.5,$B$6)*(1+Inputs_S34!$C$27)^-MAX(A75-0.5-$B$6,0)</f>
        <v/>
      </c>
      <c r="J75">
        <f>H75*I75</f>
        <v/>
      </c>
    </row>
    <row r="76">
      <c r="A76" t="n">
        <v>58</v>
      </c>
      <c r="B76">
        <f>Inputs_S34!$C$2+A76</f>
        <v/>
      </c>
      <c r="C76">
        <f>$B$5+A76-1</f>
        <v/>
      </c>
      <c r="D76">
        <f>IF(C76&gt;=120,1,MIN(1,IF(A76&lt;=$B$6,IF($B$4="M",Inputs_S34!$C$13,Inputs_S34!$C$14),IF($B$4="M",Inputs_S34!$C$15,Inputs_S34!$C$16))*INDEX(ILT!$B$2:$C$122,MIN(C76,120)+1,IF($B$4="M",1,2))*(1-Inputs_S34!$C$17)^MAX(B76-Inputs_S34!$C$18,0)))</f>
        <v/>
      </c>
      <c r="E76">
        <f>E75*(1-D76)</f>
        <v/>
      </c>
      <c r="F76">
        <f>(E75+E76)/2</f>
        <v/>
      </c>
      <c r="G76">
        <f>IF(A76&lt;$B$6+1,0,IF(A76=$B$6+1,1,G75*(1+IF(B76=Inputs_S34!$C$7,Inputs_S34!$C$8,Inputs_S34!$C$6))))</f>
        <v/>
      </c>
      <c r="H76">
        <f>$B$14*G76*F76</f>
        <v/>
      </c>
      <c r="I76">
        <f>(1+Inputs_S34!$C$26)^-MIN(A76-0.5,$B$6)*(1+Inputs_S34!$C$27)^-MAX(A76-0.5-$B$6,0)</f>
        <v/>
      </c>
      <c r="J76">
        <f>H76*I76</f>
        <v/>
      </c>
    </row>
    <row r="77">
      <c r="A77" t="n">
        <v>59</v>
      </c>
      <c r="B77">
        <f>Inputs_S34!$C$2+A77</f>
        <v/>
      </c>
      <c r="C77">
        <f>$B$5+A77-1</f>
        <v/>
      </c>
      <c r="D77">
        <f>IF(C77&gt;=120,1,MIN(1,IF(A77&lt;=$B$6,IF($B$4="M",Inputs_S34!$C$13,Inputs_S34!$C$14),IF($B$4="M",Inputs_S34!$C$15,Inputs_S34!$C$16))*INDEX(ILT!$B$2:$C$122,MIN(C77,120)+1,IF($B$4="M",1,2))*(1-Inputs_S34!$C$17)^MAX(B77-Inputs_S34!$C$18,0)))</f>
        <v/>
      </c>
      <c r="E77">
        <f>E76*(1-D77)</f>
        <v/>
      </c>
      <c r="F77">
        <f>(E76+E77)/2</f>
        <v/>
      </c>
      <c r="G77">
        <f>IF(A77&lt;$B$6+1,0,IF(A77=$B$6+1,1,G76*(1+IF(B77=Inputs_S34!$C$7,Inputs_S34!$C$8,Inputs_S34!$C$6))))</f>
        <v/>
      </c>
      <c r="H77">
        <f>$B$14*G77*F77</f>
        <v/>
      </c>
      <c r="I77">
        <f>(1+Inputs_S34!$C$26)^-MIN(A77-0.5,$B$6)*(1+Inputs_S34!$C$27)^-MAX(A77-0.5-$B$6,0)</f>
        <v/>
      </c>
      <c r="J77">
        <f>H77*I77</f>
        <v/>
      </c>
    </row>
    <row r="78">
      <c r="A78" t="n">
        <v>60</v>
      </c>
      <c r="B78">
        <f>Inputs_S34!$C$2+A78</f>
        <v/>
      </c>
      <c r="C78">
        <f>$B$5+A78-1</f>
        <v/>
      </c>
      <c r="D78">
        <f>IF(C78&gt;=120,1,MIN(1,IF(A78&lt;=$B$6,IF($B$4="M",Inputs_S34!$C$13,Inputs_S34!$C$14),IF($B$4="M",Inputs_S34!$C$15,Inputs_S34!$C$16))*INDEX(ILT!$B$2:$C$122,MIN(C78,120)+1,IF($B$4="M",1,2))*(1-Inputs_S34!$C$17)^MAX(B78-Inputs_S34!$C$18,0)))</f>
        <v/>
      </c>
      <c r="E78">
        <f>E77*(1-D78)</f>
        <v/>
      </c>
      <c r="F78">
        <f>(E77+E78)/2</f>
        <v/>
      </c>
      <c r="G78">
        <f>IF(A78&lt;$B$6+1,0,IF(A78=$B$6+1,1,G77*(1+IF(B78=Inputs_S34!$C$7,Inputs_S34!$C$8,Inputs_S34!$C$6))))</f>
        <v/>
      </c>
      <c r="H78">
        <f>$B$14*G78*F78</f>
        <v/>
      </c>
      <c r="I78">
        <f>(1+Inputs_S34!$C$26)^-MIN(A78-0.5,$B$6)*(1+Inputs_S34!$C$27)^-MAX(A78-0.5-$B$6,0)</f>
        <v/>
      </c>
      <c r="J78">
        <f>H78*I78</f>
        <v/>
      </c>
    </row>
    <row r="79">
      <c r="A79" t="n">
        <v>61</v>
      </c>
      <c r="B79">
        <f>Inputs_S34!$C$2+A79</f>
        <v/>
      </c>
      <c r="C79">
        <f>$B$5+A79-1</f>
        <v/>
      </c>
      <c r="D79">
        <f>IF(C79&gt;=120,1,MIN(1,IF(A79&lt;=$B$6,IF($B$4="M",Inputs_S34!$C$13,Inputs_S34!$C$14),IF($B$4="M",Inputs_S34!$C$15,Inputs_S34!$C$16))*INDEX(ILT!$B$2:$C$122,MIN(C79,120)+1,IF($B$4="M",1,2))*(1-Inputs_S34!$C$17)^MAX(B79-Inputs_S34!$C$18,0)))</f>
        <v/>
      </c>
      <c r="E79">
        <f>E78*(1-D79)</f>
        <v/>
      </c>
      <c r="F79">
        <f>(E78+E79)/2</f>
        <v/>
      </c>
      <c r="G79">
        <f>IF(A79&lt;$B$6+1,0,IF(A79=$B$6+1,1,G78*(1+IF(B79=Inputs_S34!$C$7,Inputs_S34!$C$8,Inputs_S34!$C$6))))</f>
        <v/>
      </c>
      <c r="H79">
        <f>$B$14*G79*F79</f>
        <v/>
      </c>
      <c r="I79">
        <f>(1+Inputs_S34!$C$26)^-MIN(A79-0.5,$B$6)*(1+Inputs_S34!$C$27)^-MAX(A79-0.5-$B$6,0)</f>
        <v/>
      </c>
      <c r="J79">
        <f>H79*I79</f>
        <v/>
      </c>
    </row>
    <row r="80">
      <c r="A80" t="n">
        <v>62</v>
      </c>
      <c r="B80">
        <f>Inputs_S34!$C$2+A80</f>
        <v/>
      </c>
      <c r="C80">
        <f>$B$5+A80-1</f>
        <v/>
      </c>
      <c r="D80">
        <f>IF(C80&gt;=120,1,MIN(1,IF(A80&lt;=$B$6,IF($B$4="M",Inputs_S34!$C$13,Inputs_S34!$C$14),IF($B$4="M",Inputs_S34!$C$15,Inputs_S34!$C$16))*INDEX(ILT!$B$2:$C$122,MIN(C80,120)+1,IF($B$4="M",1,2))*(1-Inputs_S34!$C$17)^MAX(B80-Inputs_S34!$C$18,0)))</f>
        <v/>
      </c>
      <c r="E80">
        <f>E79*(1-D80)</f>
        <v/>
      </c>
      <c r="F80">
        <f>(E79+E80)/2</f>
        <v/>
      </c>
      <c r="G80">
        <f>IF(A80&lt;$B$6+1,0,IF(A80=$B$6+1,1,G79*(1+IF(B80=Inputs_S34!$C$7,Inputs_S34!$C$8,Inputs_S34!$C$6))))</f>
        <v/>
      </c>
      <c r="H80">
        <f>$B$14*G80*F80</f>
        <v/>
      </c>
      <c r="I80">
        <f>(1+Inputs_S34!$C$26)^-MIN(A80-0.5,$B$6)*(1+Inputs_S34!$C$27)^-MAX(A80-0.5-$B$6,0)</f>
        <v/>
      </c>
      <c r="J80">
        <f>H80*I80</f>
        <v/>
      </c>
    </row>
    <row r="81">
      <c r="A81" t="n">
        <v>63</v>
      </c>
      <c r="B81">
        <f>Inputs_S34!$C$2+A81</f>
        <v/>
      </c>
      <c r="C81">
        <f>$B$5+A81-1</f>
        <v/>
      </c>
      <c r="D81">
        <f>IF(C81&gt;=120,1,MIN(1,IF(A81&lt;=$B$6,IF($B$4="M",Inputs_S34!$C$13,Inputs_S34!$C$14),IF($B$4="M",Inputs_S34!$C$15,Inputs_S34!$C$16))*INDEX(ILT!$B$2:$C$122,MIN(C81,120)+1,IF($B$4="M",1,2))*(1-Inputs_S34!$C$17)^MAX(B81-Inputs_S34!$C$18,0)))</f>
        <v/>
      </c>
      <c r="E81">
        <f>E80*(1-D81)</f>
        <v/>
      </c>
      <c r="F81">
        <f>(E80+E81)/2</f>
        <v/>
      </c>
      <c r="G81">
        <f>IF(A81&lt;$B$6+1,0,IF(A81=$B$6+1,1,G80*(1+IF(B81=Inputs_S34!$C$7,Inputs_S34!$C$8,Inputs_S34!$C$6))))</f>
        <v/>
      </c>
      <c r="H81">
        <f>$B$14*G81*F81</f>
        <v/>
      </c>
      <c r="I81">
        <f>(1+Inputs_S34!$C$26)^-MIN(A81-0.5,$B$6)*(1+Inputs_S34!$C$27)^-MAX(A81-0.5-$B$6,0)</f>
        <v/>
      </c>
      <c r="J81">
        <f>H81*I81</f>
        <v/>
      </c>
    </row>
    <row r="82">
      <c r="A82" t="n">
        <v>64</v>
      </c>
      <c r="B82">
        <f>Inputs_S34!$C$2+A82</f>
        <v/>
      </c>
      <c r="C82">
        <f>$B$5+A82-1</f>
        <v/>
      </c>
      <c r="D82">
        <f>IF(C82&gt;=120,1,MIN(1,IF(A82&lt;=$B$6,IF($B$4="M",Inputs_S34!$C$13,Inputs_S34!$C$14),IF($B$4="M",Inputs_S34!$C$15,Inputs_S34!$C$16))*INDEX(ILT!$B$2:$C$122,MIN(C82,120)+1,IF($B$4="M",1,2))*(1-Inputs_S34!$C$17)^MAX(B82-Inputs_S34!$C$18,0)))</f>
        <v/>
      </c>
      <c r="E82">
        <f>E81*(1-D82)</f>
        <v/>
      </c>
      <c r="F82">
        <f>(E81+E82)/2</f>
        <v/>
      </c>
      <c r="G82">
        <f>IF(A82&lt;$B$6+1,0,IF(A82=$B$6+1,1,G81*(1+IF(B82=Inputs_S34!$C$7,Inputs_S34!$C$8,Inputs_S34!$C$6))))</f>
        <v/>
      </c>
      <c r="H82">
        <f>$B$14*G82*F82</f>
        <v/>
      </c>
      <c r="I82">
        <f>(1+Inputs_S34!$C$26)^-MIN(A82-0.5,$B$6)*(1+Inputs_S34!$C$27)^-MAX(A82-0.5-$B$6,0)</f>
        <v/>
      </c>
      <c r="J82">
        <f>H82*I82</f>
        <v/>
      </c>
    </row>
    <row r="83">
      <c r="A83" t="n">
        <v>65</v>
      </c>
      <c r="B83">
        <f>Inputs_S34!$C$2+A83</f>
        <v/>
      </c>
      <c r="C83">
        <f>$B$5+A83-1</f>
        <v/>
      </c>
      <c r="D83">
        <f>IF(C83&gt;=120,1,MIN(1,IF(A83&lt;=$B$6,IF($B$4="M",Inputs_S34!$C$13,Inputs_S34!$C$14),IF($B$4="M",Inputs_S34!$C$15,Inputs_S34!$C$16))*INDEX(ILT!$B$2:$C$122,MIN(C83,120)+1,IF($B$4="M",1,2))*(1-Inputs_S34!$C$17)^MAX(B83-Inputs_S34!$C$18,0)))</f>
        <v/>
      </c>
      <c r="E83">
        <f>E82*(1-D83)</f>
        <v/>
      </c>
      <c r="F83">
        <f>(E82+E83)/2</f>
        <v/>
      </c>
      <c r="G83">
        <f>IF(A83&lt;$B$6+1,0,IF(A83=$B$6+1,1,G82*(1+IF(B83=Inputs_S34!$C$7,Inputs_S34!$C$8,Inputs_S34!$C$6))))</f>
        <v/>
      </c>
      <c r="H83">
        <f>$B$14*G83*F83</f>
        <v/>
      </c>
      <c r="I83">
        <f>(1+Inputs_S34!$C$26)^-MIN(A83-0.5,$B$6)*(1+Inputs_S34!$C$27)^-MAX(A83-0.5-$B$6,0)</f>
        <v/>
      </c>
      <c r="J83">
        <f>H83*I83</f>
        <v/>
      </c>
    </row>
    <row r="84">
      <c r="A84" t="n">
        <v>66</v>
      </c>
      <c r="B84">
        <f>Inputs_S34!$C$2+A84</f>
        <v/>
      </c>
      <c r="C84">
        <f>$B$5+A84-1</f>
        <v/>
      </c>
      <c r="D84">
        <f>IF(C84&gt;=120,1,MIN(1,IF(A84&lt;=$B$6,IF($B$4="M",Inputs_S34!$C$13,Inputs_S34!$C$14),IF($B$4="M",Inputs_S34!$C$15,Inputs_S34!$C$16))*INDEX(ILT!$B$2:$C$122,MIN(C84,120)+1,IF($B$4="M",1,2))*(1-Inputs_S34!$C$17)^MAX(B84-Inputs_S34!$C$18,0)))</f>
        <v/>
      </c>
      <c r="E84">
        <f>E83*(1-D84)</f>
        <v/>
      </c>
      <c r="F84">
        <f>(E83+E84)/2</f>
        <v/>
      </c>
      <c r="G84">
        <f>IF(A84&lt;$B$6+1,0,IF(A84=$B$6+1,1,G83*(1+IF(B84=Inputs_S34!$C$7,Inputs_S34!$C$8,Inputs_S34!$C$6))))</f>
        <v/>
      </c>
      <c r="H84">
        <f>$B$14*G84*F84</f>
        <v/>
      </c>
      <c r="I84">
        <f>(1+Inputs_S34!$C$26)^-MIN(A84-0.5,$B$6)*(1+Inputs_S34!$C$27)^-MAX(A84-0.5-$B$6,0)</f>
        <v/>
      </c>
      <c r="J84">
        <f>H84*I84</f>
        <v/>
      </c>
    </row>
    <row r="85">
      <c r="A85" t="n">
        <v>67</v>
      </c>
      <c r="B85">
        <f>Inputs_S34!$C$2+A85</f>
        <v/>
      </c>
      <c r="C85">
        <f>$B$5+A85-1</f>
        <v/>
      </c>
      <c r="D85">
        <f>IF(C85&gt;=120,1,MIN(1,IF(A85&lt;=$B$6,IF($B$4="M",Inputs_S34!$C$13,Inputs_S34!$C$14),IF($B$4="M",Inputs_S34!$C$15,Inputs_S34!$C$16))*INDEX(ILT!$B$2:$C$122,MIN(C85,120)+1,IF($B$4="M",1,2))*(1-Inputs_S34!$C$17)^MAX(B85-Inputs_S34!$C$18,0)))</f>
        <v/>
      </c>
      <c r="E85">
        <f>E84*(1-D85)</f>
        <v/>
      </c>
      <c r="F85">
        <f>(E84+E85)/2</f>
        <v/>
      </c>
      <c r="G85">
        <f>IF(A85&lt;$B$6+1,0,IF(A85=$B$6+1,1,G84*(1+IF(B85=Inputs_S34!$C$7,Inputs_S34!$C$8,Inputs_S34!$C$6))))</f>
        <v/>
      </c>
      <c r="H85">
        <f>$B$14*G85*F85</f>
        <v/>
      </c>
      <c r="I85">
        <f>(1+Inputs_S34!$C$26)^-MIN(A85-0.5,$B$6)*(1+Inputs_S34!$C$27)^-MAX(A85-0.5-$B$6,0)</f>
        <v/>
      </c>
      <c r="J85">
        <f>H85*I85</f>
        <v/>
      </c>
    </row>
    <row r="86">
      <c r="A86" t="n">
        <v>68</v>
      </c>
      <c r="B86">
        <f>Inputs_S34!$C$2+A86</f>
        <v/>
      </c>
      <c r="C86">
        <f>$B$5+A86-1</f>
        <v/>
      </c>
      <c r="D86">
        <f>IF(C86&gt;=120,1,MIN(1,IF(A86&lt;=$B$6,IF($B$4="M",Inputs_S34!$C$13,Inputs_S34!$C$14),IF($B$4="M",Inputs_S34!$C$15,Inputs_S34!$C$16))*INDEX(ILT!$B$2:$C$122,MIN(C86,120)+1,IF($B$4="M",1,2))*(1-Inputs_S34!$C$17)^MAX(B86-Inputs_S34!$C$18,0)))</f>
        <v/>
      </c>
      <c r="E86">
        <f>E85*(1-D86)</f>
        <v/>
      </c>
      <c r="F86">
        <f>(E85+E86)/2</f>
        <v/>
      </c>
      <c r="G86">
        <f>IF(A86&lt;$B$6+1,0,IF(A86=$B$6+1,1,G85*(1+IF(B86=Inputs_S34!$C$7,Inputs_S34!$C$8,Inputs_S34!$C$6))))</f>
        <v/>
      </c>
      <c r="H86">
        <f>$B$14*G86*F86</f>
        <v/>
      </c>
      <c r="I86">
        <f>(1+Inputs_S34!$C$26)^-MIN(A86-0.5,$B$6)*(1+Inputs_S34!$C$27)^-MAX(A86-0.5-$B$6,0)</f>
        <v/>
      </c>
      <c r="J86">
        <f>H86*I86</f>
        <v/>
      </c>
    </row>
    <row r="87">
      <c r="A87" t="n">
        <v>69</v>
      </c>
      <c r="B87">
        <f>Inputs_S34!$C$2+A87</f>
        <v/>
      </c>
      <c r="C87">
        <f>$B$5+A87-1</f>
        <v/>
      </c>
      <c r="D87">
        <f>IF(C87&gt;=120,1,MIN(1,IF(A87&lt;=$B$6,IF($B$4="M",Inputs_S34!$C$13,Inputs_S34!$C$14),IF($B$4="M",Inputs_S34!$C$15,Inputs_S34!$C$16))*INDEX(ILT!$B$2:$C$122,MIN(C87,120)+1,IF($B$4="M",1,2))*(1-Inputs_S34!$C$17)^MAX(B87-Inputs_S34!$C$18,0)))</f>
        <v/>
      </c>
      <c r="E87">
        <f>E86*(1-D87)</f>
        <v/>
      </c>
      <c r="F87">
        <f>(E86+E87)/2</f>
        <v/>
      </c>
      <c r="G87">
        <f>IF(A87&lt;$B$6+1,0,IF(A87=$B$6+1,1,G86*(1+IF(B87=Inputs_S34!$C$7,Inputs_S34!$C$8,Inputs_S34!$C$6))))</f>
        <v/>
      </c>
      <c r="H87">
        <f>$B$14*G87*F87</f>
        <v/>
      </c>
      <c r="I87">
        <f>(1+Inputs_S34!$C$26)^-MIN(A87-0.5,$B$6)*(1+Inputs_S34!$C$27)^-MAX(A87-0.5-$B$6,0)</f>
        <v/>
      </c>
      <c r="J87">
        <f>H87*I87</f>
        <v/>
      </c>
    </row>
    <row r="88">
      <c r="A88" t="n">
        <v>70</v>
      </c>
      <c r="B88">
        <f>Inputs_S34!$C$2+A88</f>
        <v/>
      </c>
      <c r="C88">
        <f>$B$5+A88-1</f>
        <v/>
      </c>
      <c r="D88">
        <f>IF(C88&gt;=120,1,MIN(1,IF(A88&lt;=$B$6,IF($B$4="M",Inputs_S34!$C$13,Inputs_S34!$C$14),IF($B$4="M",Inputs_S34!$C$15,Inputs_S34!$C$16))*INDEX(ILT!$B$2:$C$122,MIN(C88,120)+1,IF($B$4="M",1,2))*(1-Inputs_S34!$C$17)^MAX(B88-Inputs_S34!$C$18,0)))</f>
        <v/>
      </c>
      <c r="E88">
        <f>E87*(1-D88)</f>
        <v/>
      </c>
      <c r="F88">
        <f>(E87+E88)/2</f>
        <v/>
      </c>
      <c r="G88">
        <f>IF(A88&lt;$B$6+1,0,IF(A88=$B$6+1,1,G87*(1+IF(B88=Inputs_S34!$C$7,Inputs_S34!$C$8,Inputs_S34!$C$6))))</f>
        <v/>
      </c>
      <c r="H88">
        <f>$B$14*G88*F88</f>
        <v/>
      </c>
      <c r="I88">
        <f>(1+Inputs_S34!$C$26)^-MIN(A88-0.5,$B$6)*(1+Inputs_S34!$C$27)^-MAX(A88-0.5-$B$6,0)</f>
        <v/>
      </c>
      <c r="J88">
        <f>H88*I88</f>
        <v/>
      </c>
    </row>
    <row r="89">
      <c r="A89" t="n">
        <v>71</v>
      </c>
      <c r="B89">
        <f>Inputs_S34!$C$2+A89</f>
        <v/>
      </c>
      <c r="C89">
        <f>$B$5+A89-1</f>
        <v/>
      </c>
      <c r="D89">
        <f>IF(C89&gt;=120,1,MIN(1,IF(A89&lt;=$B$6,IF($B$4="M",Inputs_S34!$C$13,Inputs_S34!$C$14),IF($B$4="M",Inputs_S34!$C$15,Inputs_S34!$C$16))*INDEX(ILT!$B$2:$C$122,MIN(C89,120)+1,IF($B$4="M",1,2))*(1-Inputs_S34!$C$17)^MAX(B89-Inputs_S34!$C$18,0)))</f>
        <v/>
      </c>
      <c r="E89">
        <f>E88*(1-D89)</f>
        <v/>
      </c>
      <c r="F89">
        <f>(E88+E89)/2</f>
        <v/>
      </c>
      <c r="G89">
        <f>IF(A89&lt;$B$6+1,0,IF(A89=$B$6+1,1,G88*(1+IF(B89=Inputs_S34!$C$7,Inputs_S34!$C$8,Inputs_S34!$C$6))))</f>
        <v/>
      </c>
      <c r="H89">
        <f>$B$14*G89*F89</f>
        <v/>
      </c>
      <c r="I89">
        <f>(1+Inputs_S34!$C$26)^-MIN(A89-0.5,$B$6)*(1+Inputs_S34!$C$27)^-MAX(A89-0.5-$B$6,0)</f>
        <v/>
      </c>
      <c r="J89">
        <f>H89*I89</f>
        <v/>
      </c>
    </row>
    <row r="90">
      <c r="A90" t="n">
        <v>72</v>
      </c>
      <c r="B90">
        <f>Inputs_S34!$C$2+A90</f>
        <v/>
      </c>
      <c r="C90">
        <f>$B$5+A90-1</f>
        <v/>
      </c>
      <c r="D90">
        <f>IF(C90&gt;=120,1,MIN(1,IF(A90&lt;=$B$6,IF($B$4="M",Inputs_S34!$C$13,Inputs_S34!$C$14),IF($B$4="M",Inputs_S34!$C$15,Inputs_S34!$C$16))*INDEX(ILT!$B$2:$C$122,MIN(C90,120)+1,IF($B$4="M",1,2))*(1-Inputs_S34!$C$17)^MAX(B90-Inputs_S34!$C$18,0)))</f>
        <v/>
      </c>
      <c r="E90">
        <f>E89*(1-D90)</f>
        <v/>
      </c>
      <c r="F90">
        <f>(E89+E90)/2</f>
        <v/>
      </c>
      <c r="G90">
        <f>IF(A90&lt;$B$6+1,0,IF(A90=$B$6+1,1,G89*(1+IF(B90=Inputs_S34!$C$7,Inputs_S34!$C$8,Inputs_S34!$C$6))))</f>
        <v/>
      </c>
      <c r="H90">
        <f>$B$14*G90*F90</f>
        <v/>
      </c>
      <c r="I90">
        <f>(1+Inputs_S34!$C$26)^-MIN(A90-0.5,$B$6)*(1+Inputs_S34!$C$27)^-MAX(A90-0.5-$B$6,0)</f>
        <v/>
      </c>
      <c r="J90">
        <f>H90*I90</f>
        <v/>
      </c>
    </row>
    <row r="91">
      <c r="A91" t="n">
        <v>73</v>
      </c>
      <c r="B91">
        <f>Inputs_S34!$C$2+A91</f>
        <v/>
      </c>
      <c r="C91">
        <f>$B$5+A91-1</f>
        <v/>
      </c>
      <c r="D91">
        <f>IF(C91&gt;=120,1,MIN(1,IF(A91&lt;=$B$6,IF($B$4="M",Inputs_S34!$C$13,Inputs_S34!$C$14),IF($B$4="M",Inputs_S34!$C$15,Inputs_S34!$C$16))*INDEX(ILT!$B$2:$C$122,MIN(C91,120)+1,IF($B$4="M",1,2))*(1-Inputs_S34!$C$17)^MAX(B91-Inputs_S34!$C$18,0)))</f>
        <v/>
      </c>
      <c r="E91">
        <f>E90*(1-D91)</f>
        <v/>
      </c>
      <c r="F91">
        <f>(E90+E91)/2</f>
        <v/>
      </c>
      <c r="G91">
        <f>IF(A91&lt;$B$6+1,0,IF(A91=$B$6+1,1,G90*(1+IF(B91=Inputs_S34!$C$7,Inputs_S34!$C$8,Inputs_S34!$C$6))))</f>
        <v/>
      </c>
      <c r="H91">
        <f>$B$14*G91*F91</f>
        <v/>
      </c>
      <c r="I91">
        <f>(1+Inputs_S34!$C$26)^-MIN(A91-0.5,$B$6)*(1+Inputs_S34!$C$27)^-MAX(A91-0.5-$B$6,0)</f>
        <v/>
      </c>
      <c r="J91">
        <f>H91*I91</f>
        <v/>
      </c>
    </row>
    <row r="92">
      <c r="A92" t="n">
        <v>74</v>
      </c>
      <c r="B92">
        <f>Inputs_S34!$C$2+A92</f>
        <v/>
      </c>
      <c r="C92">
        <f>$B$5+A92-1</f>
        <v/>
      </c>
      <c r="D92">
        <f>IF(C92&gt;=120,1,MIN(1,IF(A92&lt;=$B$6,IF($B$4="M",Inputs_S34!$C$13,Inputs_S34!$C$14),IF($B$4="M",Inputs_S34!$C$15,Inputs_S34!$C$16))*INDEX(ILT!$B$2:$C$122,MIN(C92,120)+1,IF($B$4="M",1,2))*(1-Inputs_S34!$C$17)^MAX(B92-Inputs_S34!$C$18,0)))</f>
        <v/>
      </c>
      <c r="E92">
        <f>E91*(1-D92)</f>
        <v/>
      </c>
      <c r="F92">
        <f>(E91+E92)/2</f>
        <v/>
      </c>
      <c r="G92">
        <f>IF(A92&lt;$B$6+1,0,IF(A92=$B$6+1,1,G91*(1+IF(B92=Inputs_S34!$C$7,Inputs_S34!$C$8,Inputs_S34!$C$6))))</f>
        <v/>
      </c>
      <c r="H92">
        <f>$B$14*G92*F92</f>
        <v/>
      </c>
      <c r="I92">
        <f>(1+Inputs_S34!$C$26)^-MIN(A92-0.5,$B$6)*(1+Inputs_S34!$C$27)^-MAX(A92-0.5-$B$6,0)</f>
        <v/>
      </c>
      <c r="J92">
        <f>H92*I92</f>
        <v/>
      </c>
    </row>
    <row r="93">
      <c r="A93" t="n">
        <v>75</v>
      </c>
      <c r="B93">
        <f>Inputs_S34!$C$2+A93</f>
        <v/>
      </c>
      <c r="C93">
        <f>$B$5+A93-1</f>
        <v/>
      </c>
      <c r="D93">
        <f>IF(C93&gt;=120,1,MIN(1,IF(A93&lt;=$B$6,IF($B$4="M",Inputs_S34!$C$13,Inputs_S34!$C$14),IF($B$4="M",Inputs_S34!$C$15,Inputs_S34!$C$16))*INDEX(ILT!$B$2:$C$122,MIN(C93,120)+1,IF($B$4="M",1,2))*(1-Inputs_S34!$C$17)^MAX(B93-Inputs_S34!$C$18,0)))</f>
        <v/>
      </c>
      <c r="E93">
        <f>E92*(1-D93)</f>
        <v/>
      </c>
      <c r="F93">
        <f>(E92+E93)/2</f>
        <v/>
      </c>
      <c r="G93">
        <f>IF(A93&lt;$B$6+1,0,IF(A93=$B$6+1,1,G92*(1+IF(B93=Inputs_S34!$C$7,Inputs_S34!$C$8,Inputs_S34!$C$6))))</f>
        <v/>
      </c>
      <c r="H93">
        <f>$B$14*G93*F93</f>
        <v/>
      </c>
      <c r="I93">
        <f>(1+Inputs_S34!$C$26)^-MIN(A93-0.5,$B$6)*(1+Inputs_S34!$C$27)^-MAX(A93-0.5-$B$6,0)</f>
        <v/>
      </c>
      <c r="J93">
        <f>H93*I93</f>
        <v/>
      </c>
    </row>
    <row r="94">
      <c r="A94" t="n">
        <v>76</v>
      </c>
      <c r="B94">
        <f>Inputs_S34!$C$2+A94</f>
        <v/>
      </c>
      <c r="C94">
        <f>$B$5+A94-1</f>
        <v/>
      </c>
      <c r="D94">
        <f>IF(C94&gt;=120,1,MIN(1,IF(A94&lt;=$B$6,IF($B$4="M",Inputs_S34!$C$13,Inputs_S34!$C$14),IF($B$4="M",Inputs_S34!$C$15,Inputs_S34!$C$16))*INDEX(ILT!$B$2:$C$122,MIN(C94,120)+1,IF($B$4="M",1,2))*(1-Inputs_S34!$C$17)^MAX(B94-Inputs_S34!$C$18,0)))</f>
        <v/>
      </c>
      <c r="E94">
        <f>E93*(1-D94)</f>
        <v/>
      </c>
      <c r="F94">
        <f>(E93+E94)/2</f>
        <v/>
      </c>
      <c r="G94">
        <f>IF(A94&lt;$B$6+1,0,IF(A94=$B$6+1,1,G93*(1+IF(B94=Inputs_S34!$C$7,Inputs_S34!$C$8,Inputs_S34!$C$6))))</f>
        <v/>
      </c>
      <c r="H94">
        <f>$B$14*G94*F94</f>
        <v/>
      </c>
      <c r="I94">
        <f>(1+Inputs_S34!$C$26)^-MIN(A94-0.5,$B$6)*(1+Inputs_S34!$C$27)^-MAX(A94-0.5-$B$6,0)</f>
        <v/>
      </c>
      <c r="J94">
        <f>H94*I94</f>
        <v/>
      </c>
    </row>
    <row r="95">
      <c r="A95" t="n">
        <v>77</v>
      </c>
      <c r="B95">
        <f>Inputs_S34!$C$2+A95</f>
        <v/>
      </c>
      <c r="C95">
        <f>$B$5+A95-1</f>
        <v/>
      </c>
      <c r="D95">
        <f>IF(C95&gt;=120,1,MIN(1,IF(A95&lt;=$B$6,IF($B$4="M",Inputs_S34!$C$13,Inputs_S34!$C$14),IF($B$4="M",Inputs_S34!$C$15,Inputs_S34!$C$16))*INDEX(ILT!$B$2:$C$122,MIN(C95,120)+1,IF($B$4="M",1,2))*(1-Inputs_S34!$C$17)^MAX(B95-Inputs_S34!$C$18,0)))</f>
        <v/>
      </c>
      <c r="E95">
        <f>E94*(1-D95)</f>
        <v/>
      </c>
      <c r="F95">
        <f>(E94+E95)/2</f>
        <v/>
      </c>
      <c r="G95">
        <f>IF(A95&lt;$B$6+1,0,IF(A95=$B$6+1,1,G94*(1+IF(B95=Inputs_S34!$C$7,Inputs_S34!$C$8,Inputs_S34!$C$6))))</f>
        <v/>
      </c>
      <c r="H95">
        <f>$B$14*G95*F95</f>
        <v/>
      </c>
      <c r="I95">
        <f>(1+Inputs_S34!$C$26)^-MIN(A95-0.5,$B$6)*(1+Inputs_S34!$C$27)^-MAX(A95-0.5-$B$6,0)</f>
        <v/>
      </c>
      <c r="J95">
        <f>H95*I95</f>
        <v/>
      </c>
    </row>
    <row r="96">
      <c r="A96" t="n">
        <v>78</v>
      </c>
      <c r="B96">
        <f>Inputs_S34!$C$2+A96</f>
        <v/>
      </c>
      <c r="C96">
        <f>$B$5+A96-1</f>
        <v/>
      </c>
      <c r="D96">
        <f>IF(C96&gt;=120,1,MIN(1,IF(A96&lt;=$B$6,IF($B$4="M",Inputs_S34!$C$13,Inputs_S34!$C$14),IF($B$4="M",Inputs_S34!$C$15,Inputs_S34!$C$16))*INDEX(ILT!$B$2:$C$122,MIN(C96,120)+1,IF($B$4="M",1,2))*(1-Inputs_S34!$C$17)^MAX(B96-Inputs_S34!$C$18,0)))</f>
        <v/>
      </c>
      <c r="E96">
        <f>E95*(1-D96)</f>
        <v/>
      </c>
      <c r="F96">
        <f>(E95+E96)/2</f>
        <v/>
      </c>
      <c r="G96">
        <f>IF(A96&lt;$B$6+1,0,IF(A96=$B$6+1,1,G95*(1+IF(B96=Inputs_S34!$C$7,Inputs_S34!$C$8,Inputs_S34!$C$6))))</f>
        <v/>
      </c>
      <c r="H96">
        <f>$B$14*G96*F96</f>
        <v/>
      </c>
      <c r="I96">
        <f>(1+Inputs_S34!$C$26)^-MIN(A96-0.5,$B$6)*(1+Inputs_S34!$C$27)^-MAX(A96-0.5-$B$6,0)</f>
        <v/>
      </c>
      <c r="J96">
        <f>H96*I96</f>
        <v/>
      </c>
    </row>
    <row r="97">
      <c r="A97" t="n">
        <v>79</v>
      </c>
      <c r="B97">
        <f>Inputs_S34!$C$2+A97</f>
        <v/>
      </c>
      <c r="C97">
        <f>$B$5+A97-1</f>
        <v/>
      </c>
      <c r="D97">
        <f>IF(C97&gt;=120,1,MIN(1,IF(A97&lt;=$B$6,IF($B$4="M",Inputs_S34!$C$13,Inputs_S34!$C$14),IF($B$4="M",Inputs_S34!$C$15,Inputs_S34!$C$16))*INDEX(ILT!$B$2:$C$122,MIN(C97,120)+1,IF($B$4="M",1,2))*(1-Inputs_S34!$C$17)^MAX(B97-Inputs_S34!$C$18,0)))</f>
        <v/>
      </c>
      <c r="E97">
        <f>E96*(1-D97)</f>
        <v/>
      </c>
      <c r="F97">
        <f>(E96+E97)/2</f>
        <v/>
      </c>
      <c r="G97">
        <f>IF(A97&lt;$B$6+1,0,IF(A97=$B$6+1,1,G96*(1+IF(B97=Inputs_S34!$C$7,Inputs_S34!$C$8,Inputs_S34!$C$6))))</f>
        <v/>
      </c>
      <c r="H97">
        <f>$B$14*G97*F97</f>
        <v/>
      </c>
      <c r="I97">
        <f>(1+Inputs_S34!$C$26)^-MIN(A97-0.5,$B$6)*(1+Inputs_S34!$C$27)^-MAX(A97-0.5-$B$6,0)</f>
        <v/>
      </c>
      <c r="J97">
        <f>H97*I97</f>
        <v/>
      </c>
    </row>
    <row r="98">
      <c r="A98" t="n">
        <v>80</v>
      </c>
      <c r="B98">
        <f>Inputs_S34!$C$2+A98</f>
        <v/>
      </c>
      <c r="C98">
        <f>$B$5+A98-1</f>
        <v/>
      </c>
      <c r="D98">
        <f>IF(C98&gt;=120,1,MIN(1,IF(A98&lt;=$B$6,IF($B$4="M",Inputs_S34!$C$13,Inputs_S34!$C$14),IF($B$4="M",Inputs_S34!$C$15,Inputs_S34!$C$16))*INDEX(ILT!$B$2:$C$122,MIN(C98,120)+1,IF($B$4="M",1,2))*(1-Inputs_S34!$C$17)^MAX(B98-Inputs_S34!$C$18,0)))</f>
        <v/>
      </c>
      <c r="E98">
        <f>E97*(1-D98)</f>
        <v/>
      </c>
      <c r="F98">
        <f>(E97+E98)/2</f>
        <v/>
      </c>
      <c r="G98">
        <f>IF(A98&lt;$B$6+1,0,IF(A98=$B$6+1,1,G97*(1+IF(B98=Inputs_S34!$C$7,Inputs_S34!$C$8,Inputs_S34!$C$6))))</f>
        <v/>
      </c>
      <c r="H98">
        <f>$B$14*G98*F98</f>
        <v/>
      </c>
      <c r="I98">
        <f>(1+Inputs_S34!$C$26)^-MIN(A98-0.5,$B$6)*(1+Inputs_S34!$C$27)^-MAX(A98-0.5-$B$6,0)</f>
        <v/>
      </c>
      <c r="J98">
        <f>H98*I98</f>
        <v/>
      </c>
    </row>
    <row r="99">
      <c r="A99" t="n">
        <v>81</v>
      </c>
      <c r="B99">
        <f>Inputs_S34!$C$2+A99</f>
        <v/>
      </c>
      <c r="C99">
        <f>$B$5+A99-1</f>
        <v/>
      </c>
      <c r="D99">
        <f>IF(C99&gt;=120,1,MIN(1,IF(A99&lt;=$B$6,IF($B$4="M",Inputs_S34!$C$13,Inputs_S34!$C$14),IF($B$4="M",Inputs_S34!$C$15,Inputs_S34!$C$16))*INDEX(ILT!$B$2:$C$122,MIN(C99,120)+1,IF($B$4="M",1,2))*(1-Inputs_S34!$C$17)^MAX(B99-Inputs_S34!$C$18,0)))</f>
        <v/>
      </c>
      <c r="E99">
        <f>E98*(1-D99)</f>
        <v/>
      </c>
      <c r="F99">
        <f>(E98+E99)/2</f>
        <v/>
      </c>
      <c r="G99">
        <f>IF(A99&lt;$B$6+1,0,IF(A99=$B$6+1,1,G98*(1+IF(B99=Inputs_S34!$C$7,Inputs_S34!$C$8,Inputs_S34!$C$6))))</f>
        <v/>
      </c>
      <c r="H99">
        <f>$B$14*G99*F99</f>
        <v/>
      </c>
      <c r="I99">
        <f>(1+Inputs_S34!$C$26)^-MIN(A99-0.5,$B$6)*(1+Inputs_S34!$C$27)^-MAX(A99-0.5-$B$6,0)</f>
        <v/>
      </c>
      <c r="J99">
        <f>H99*I99</f>
        <v/>
      </c>
    </row>
    <row r="100">
      <c r="A100" t="n">
        <v>82</v>
      </c>
      <c r="B100">
        <f>Inputs_S34!$C$2+A100</f>
        <v/>
      </c>
      <c r="C100">
        <f>$B$5+A100-1</f>
        <v/>
      </c>
      <c r="D100">
        <f>IF(C100&gt;=120,1,MIN(1,IF(A100&lt;=$B$6,IF($B$4="M",Inputs_S34!$C$13,Inputs_S34!$C$14),IF($B$4="M",Inputs_S34!$C$15,Inputs_S34!$C$16))*INDEX(ILT!$B$2:$C$122,MIN(C100,120)+1,IF($B$4="M",1,2))*(1-Inputs_S34!$C$17)^MAX(B100-Inputs_S34!$C$18,0)))</f>
        <v/>
      </c>
      <c r="E100">
        <f>E99*(1-D100)</f>
        <v/>
      </c>
      <c r="F100">
        <f>(E99+E100)/2</f>
        <v/>
      </c>
      <c r="G100">
        <f>IF(A100&lt;$B$6+1,0,IF(A100=$B$6+1,1,G99*(1+IF(B100=Inputs_S34!$C$7,Inputs_S34!$C$8,Inputs_S34!$C$6))))</f>
        <v/>
      </c>
      <c r="H100">
        <f>$B$14*G100*F100</f>
        <v/>
      </c>
      <c r="I100">
        <f>(1+Inputs_S34!$C$26)^-MIN(A100-0.5,$B$6)*(1+Inputs_S34!$C$27)^-MAX(A100-0.5-$B$6,0)</f>
        <v/>
      </c>
      <c r="J100">
        <f>H100*I100</f>
        <v/>
      </c>
    </row>
    <row r="101">
      <c r="A101" t="n">
        <v>83</v>
      </c>
      <c r="B101">
        <f>Inputs_S34!$C$2+A101</f>
        <v/>
      </c>
      <c r="C101">
        <f>$B$5+A101-1</f>
        <v/>
      </c>
      <c r="D101">
        <f>IF(C101&gt;=120,1,MIN(1,IF(A101&lt;=$B$6,IF($B$4="M",Inputs_S34!$C$13,Inputs_S34!$C$14),IF($B$4="M",Inputs_S34!$C$15,Inputs_S34!$C$16))*INDEX(ILT!$B$2:$C$122,MIN(C101,120)+1,IF($B$4="M",1,2))*(1-Inputs_S34!$C$17)^MAX(B101-Inputs_S34!$C$18,0)))</f>
        <v/>
      </c>
      <c r="E101">
        <f>E100*(1-D101)</f>
        <v/>
      </c>
      <c r="F101">
        <f>(E100+E101)/2</f>
        <v/>
      </c>
      <c r="G101">
        <f>IF(A101&lt;$B$6+1,0,IF(A101=$B$6+1,1,G100*(1+IF(B101=Inputs_S34!$C$7,Inputs_S34!$C$8,Inputs_S34!$C$6))))</f>
        <v/>
      </c>
      <c r="H101">
        <f>$B$14*G101*F101</f>
        <v/>
      </c>
      <c r="I101">
        <f>(1+Inputs_S34!$C$26)^-MIN(A101-0.5,$B$6)*(1+Inputs_S34!$C$27)^-MAX(A101-0.5-$B$6,0)</f>
        <v/>
      </c>
      <c r="J101">
        <f>H101*I101</f>
        <v/>
      </c>
    </row>
    <row r="102">
      <c r="A102" t="n">
        <v>84</v>
      </c>
      <c r="B102">
        <f>Inputs_S34!$C$2+A102</f>
        <v/>
      </c>
      <c r="C102">
        <f>$B$5+A102-1</f>
        <v/>
      </c>
      <c r="D102">
        <f>IF(C102&gt;=120,1,MIN(1,IF(A102&lt;=$B$6,IF($B$4="M",Inputs_S34!$C$13,Inputs_S34!$C$14),IF($B$4="M",Inputs_S34!$C$15,Inputs_S34!$C$16))*INDEX(ILT!$B$2:$C$122,MIN(C102,120)+1,IF($B$4="M",1,2))*(1-Inputs_S34!$C$17)^MAX(B102-Inputs_S34!$C$18,0)))</f>
        <v/>
      </c>
      <c r="E102">
        <f>E101*(1-D102)</f>
        <v/>
      </c>
      <c r="F102">
        <f>(E101+E102)/2</f>
        <v/>
      </c>
      <c r="G102">
        <f>IF(A102&lt;$B$6+1,0,IF(A102=$B$6+1,1,G101*(1+IF(B102=Inputs_S34!$C$7,Inputs_S34!$C$8,Inputs_S34!$C$6))))</f>
        <v/>
      </c>
      <c r="H102">
        <f>$B$14*G102*F102</f>
        <v/>
      </c>
      <c r="I102">
        <f>(1+Inputs_S34!$C$26)^-MIN(A102-0.5,$B$6)*(1+Inputs_S34!$C$27)^-MAX(A102-0.5-$B$6,0)</f>
        <v/>
      </c>
      <c r="J102">
        <f>H102*I102</f>
        <v/>
      </c>
    </row>
    <row r="103">
      <c r="A103" t="n">
        <v>85</v>
      </c>
      <c r="B103">
        <f>Inputs_S34!$C$2+A103</f>
        <v/>
      </c>
      <c r="C103">
        <f>$B$5+A103-1</f>
        <v/>
      </c>
      <c r="D103">
        <f>IF(C103&gt;=120,1,MIN(1,IF(A103&lt;=$B$6,IF($B$4="M",Inputs_S34!$C$13,Inputs_S34!$C$14),IF($B$4="M",Inputs_S34!$C$15,Inputs_S34!$C$16))*INDEX(ILT!$B$2:$C$122,MIN(C103,120)+1,IF($B$4="M",1,2))*(1-Inputs_S34!$C$17)^MAX(B103-Inputs_S34!$C$18,0)))</f>
        <v/>
      </c>
      <c r="E103">
        <f>E102*(1-D103)</f>
        <v/>
      </c>
      <c r="F103">
        <f>(E102+E103)/2</f>
        <v/>
      </c>
      <c r="G103">
        <f>IF(A103&lt;$B$6+1,0,IF(A103=$B$6+1,1,G102*(1+IF(B103=Inputs_S34!$C$7,Inputs_S34!$C$8,Inputs_S34!$C$6))))</f>
        <v/>
      </c>
      <c r="H103">
        <f>$B$14*G103*F103</f>
        <v/>
      </c>
      <c r="I103">
        <f>(1+Inputs_S34!$C$26)^-MIN(A103-0.5,$B$6)*(1+Inputs_S34!$C$27)^-MAX(A103-0.5-$B$6,0)</f>
        <v/>
      </c>
      <c r="J103">
        <f>H103*I103</f>
        <v/>
      </c>
    </row>
    <row r="104">
      <c r="A104" t="n">
        <v>86</v>
      </c>
      <c r="B104">
        <f>Inputs_S34!$C$2+A104</f>
        <v/>
      </c>
      <c r="C104">
        <f>$B$5+A104-1</f>
        <v/>
      </c>
      <c r="D104">
        <f>IF(C104&gt;=120,1,MIN(1,IF(A104&lt;=$B$6,IF($B$4="M",Inputs_S34!$C$13,Inputs_S34!$C$14),IF($B$4="M",Inputs_S34!$C$15,Inputs_S34!$C$16))*INDEX(ILT!$B$2:$C$122,MIN(C104,120)+1,IF($B$4="M",1,2))*(1-Inputs_S34!$C$17)^MAX(B104-Inputs_S34!$C$18,0)))</f>
        <v/>
      </c>
      <c r="E104">
        <f>E103*(1-D104)</f>
        <v/>
      </c>
      <c r="F104">
        <f>(E103+E104)/2</f>
        <v/>
      </c>
      <c r="G104">
        <f>IF(A104&lt;$B$6+1,0,IF(A104=$B$6+1,1,G103*(1+IF(B104=Inputs_S34!$C$7,Inputs_S34!$C$8,Inputs_S34!$C$6))))</f>
        <v/>
      </c>
      <c r="H104">
        <f>$B$14*G104*F104</f>
        <v/>
      </c>
      <c r="I104">
        <f>(1+Inputs_S34!$C$26)^-MIN(A104-0.5,$B$6)*(1+Inputs_S34!$C$27)^-MAX(A104-0.5-$B$6,0)</f>
        <v/>
      </c>
      <c r="J104">
        <f>H104*I104</f>
        <v/>
      </c>
    </row>
    <row r="105">
      <c r="A105" t="n">
        <v>87</v>
      </c>
      <c r="B105">
        <f>Inputs_S34!$C$2+A105</f>
        <v/>
      </c>
      <c r="C105">
        <f>$B$5+A105-1</f>
        <v/>
      </c>
      <c r="D105">
        <f>IF(C105&gt;=120,1,MIN(1,IF(A105&lt;=$B$6,IF($B$4="M",Inputs_S34!$C$13,Inputs_S34!$C$14),IF($B$4="M",Inputs_S34!$C$15,Inputs_S34!$C$16))*INDEX(ILT!$B$2:$C$122,MIN(C105,120)+1,IF($B$4="M",1,2))*(1-Inputs_S34!$C$17)^MAX(B105-Inputs_S34!$C$18,0)))</f>
        <v/>
      </c>
      <c r="E105">
        <f>E104*(1-D105)</f>
        <v/>
      </c>
      <c r="F105">
        <f>(E104+E105)/2</f>
        <v/>
      </c>
      <c r="G105">
        <f>IF(A105&lt;$B$6+1,0,IF(A105=$B$6+1,1,G104*(1+IF(B105=Inputs_S34!$C$7,Inputs_S34!$C$8,Inputs_S34!$C$6))))</f>
        <v/>
      </c>
      <c r="H105">
        <f>$B$14*G105*F105</f>
        <v/>
      </c>
      <c r="I105">
        <f>(1+Inputs_S34!$C$26)^-MIN(A105-0.5,$B$6)*(1+Inputs_S34!$C$27)^-MAX(A105-0.5-$B$6,0)</f>
        <v/>
      </c>
      <c r="J105">
        <f>H105*I105</f>
        <v/>
      </c>
    </row>
    <row r="106">
      <c r="A106" t="n">
        <v>88</v>
      </c>
      <c r="B106">
        <f>Inputs_S34!$C$2+A106</f>
        <v/>
      </c>
      <c r="C106">
        <f>$B$5+A106-1</f>
        <v/>
      </c>
      <c r="D106">
        <f>IF(C106&gt;=120,1,MIN(1,IF(A106&lt;=$B$6,IF($B$4="M",Inputs_S34!$C$13,Inputs_S34!$C$14),IF($B$4="M",Inputs_S34!$C$15,Inputs_S34!$C$16))*INDEX(ILT!$B$2:$C$122,MIN(C106,120)+1,IF($B$4="M",1,2))*(1-Inputs_S34!$C$17)^MAX(B106-Inputs_S34!$C$18,0)))</f>
        <v/>
      </c>
      <c r="E106">
        <f>E105*(1-D106)</f>
        <v/>
      </c>
      <c r="F106">
        <f>(E105+E106)/2</f>
        <v/>
      </c>
      <c r="G106">
        <f>IF(A106&lt;$B$6+1,0,IF(A106=$B$6+1,1,G105*(1+IF(B106=Inputs_S34!$C$7,Inputs_S34!$C$8,Inputs_S34!$C$6))))</f>
        <v/>
      </c>
      <c r="H106">
        <f>$B$14*G106*F106</f>
        <v/>
      </c>
      <c r="I106">
        <f>(1+Inputs_S34!$C$26)^-MIN(A106-0.5,$B$6)*(1+Inputs_S34!$C$27)^-MAX(A106-0.5-$B$6,0)</f>
        <v/>
      </c>
      <c r="J106">
        <f>H106*I106</f>
        <v/>
      </c>
    </row>
    <row r="107">
      <c r="A107" t="n">
        <v>89</v>
      </c>
      <c r="B107">
        <f>Inputs_S34!$C$2+A107</f>
        <v/>
      </c>
      <c r="C107">
        <f>$B$5+A107-1</f>
        <v/>
      </c>
      <c r="D107">
        <f>IF(C107&gt;=120,1,MIN(1,IF(A107&lt;=$B$6,IF($B$4="M",Inputs_S34!$C$13,Inputs_S34!$C$14),IF($B$4="M",Inputs_S34!$C$15,Inputs_S34!$C$16))*INDEX(ILT!$B$2:$C$122,MIN(C107,120)+1,IF($B$4="M",1,2))*(1-Inputs_S34!$C$17)^MAX(B107-Inputs_S34!$C$18,0)))</f>
        <v/>
      </c>
      <c r="E107">
        <f>E106*(1-D107)</f>
        <v/>
      </c>
      <c r="F107">
        <f>(E106+E107)/2</f>
        <v/>
      </c>
      <c r="G107">
        <f>IF(A107&lt;$B$6+1,0,IF(A107=$B$6+1,1,G106*(1+IF(B107=Inputs_S34!$C$7,Inputs_S34!$C$8,Inputs_S34!$C$6))))</f>
        <v/>
      </c>
      <c r="H107">
        <f>$B$14*G107*F107</f>
        <v/>
      </c>
      <c r="I107">
        <f>(1+Inputs_S34!$C$26)^-MIN(A107-0.5,$B$6)*(1+Inputs_S34!$C$27)^-MAX(A107-0.5-$B$6,0)</f>
        <v/>
      </c>
      <c r="J107">
        <f>H107*I107</f>
        <v/>
      </c>
    </row>
    <row r="108">
      <c r="A108" t="n">
        <v>90</v>
      </c>
      <c r="B108">
        <f>Inputs_S34!$C$2+A108</f>
        <v/>
      </c>
      <c r="C108">
        <f>$B$5+A108-1</f>
        <v/>
      </c>
      <c r="D108">
        <f>IF(C108&gt;=120,1,MIN(1,IF(A108&lt;=$B$6,IF($B$4="M",Inputs_S34!$C$13,Inputs_S34!$C$14),IF($B$4="M",Inputs_S34!$C$15,Inputs_S34!$C$16))*INDEX(ILT!$B$2:$C$122,MIN(C108,120)+1,IF($B$4="M",1,2))*(1-Inputs_S34!$C$17)^MAX(B108-Inputs_S34!$C$18,0)))</f>
        <v/>
      </c>
      <c r="E108">
        <f>E107*(1-D108)</f>
        <v/>
      </c>
      <c r="F108">
        <f>(E107+E108)/2</f>
        <v/>
      </c>
      <c r="G108">
        <f>IF(A108&lt;$B$6+1,0,IF(A108=$B$6+1,1,G107*(1+IF(B108=Inputs_S34!$C$7,Inputs_S34!$C$8,Inputs_S34!$C$6))))</f>
        <v/>
      </c>
      <c r="H108">
        <f>$B$14*G108*F108</f>
        <v/>
      </c>
      <c r="I108">
        <f>(1+Inputs_S34!$C$26)^-MIN(A108-0.5,$B$6)*(1+Inputs_S34!$C$27)^-MAX(A108-0.5-$B$6,0)</f>
        <v/>
      </c>
      <c r="J108">
        <f>H108*I108</f>
        <v/>
      </c>
    </row>
    <row r="109">
      <c r="A109" t="n">
        <v>91</v>
      </c>
      <c r="B109">
        <f>Inputs_S34!$C$2+A109</f>
        <v/>
      </c>
      <c r="C109">
        <f>$B$5+A109-1</f>
        <v/>
      </c>
      <c r="D109">
        <f>IF(C109&gt;=120,1,MIN(1,IF(A109&lt;=$B$6,IF($B$4="M",Inputs_S34!$C$13,Inputs_S34!$C$14),IF($B$4="M",Inputs_S34!$C$15,Inputs_S34!$C$16))*INDEX(ILT!$B$2:$C$122,MIN(C109,120)+1,IF($B$4="M",1,2))*(1-Inputs_S34!$C$17)^MAX(B109-Inputs_S34!$C$18,0)))</f>
        <v/>
      </c>
      <c r="E109">
        <f>E108*(1-D109)</f>
        <v/>
      </c>
      <c r="F109">
        <f>(E108+E109)/2</f>
        <v/>
      </c>
      <c r="G109">
        <f>IF(A109&lt;$B$6+1,0,IF(A109=$B$6+1,1,G108*(1+IF(B109=Inputs_S34!$C$7,Inputs_S34!$C$8,Inputs_S34!$C$6))))</f>
        <v/>
      </c>
      <c r="H109">
        <f>$B$14*G109*F109</f>
        <v/>
      </c>
      <c r="I109">
        <f>(1+Inputs_S34!$C$26)^-MIN(A109-0.5,$B$6)*(1+Inputs_S34!$C$27)^-MAX(A109-0.5-$B$6,0)</f>
        <v/>
      </c>
      <c r="J109">
        <f>H109*I109</f>
        <v/>
      </c>
    </row>
    <row r="110">
      <c r="A110" t="n">
        <v>92</v>
      </c>
      <c r="B110">
        <f>Inputs_S34!$C$2+A110</f>
        <v/>
      </c>
      <c r="C110">
        <f>$B$5+A110-1</f>
        <v/>
      </c>
      <c r="D110">
        <f>IF(C110&gt;=120,1,MIN(1,IF(A110&lt;=$B$6,IF($B$4="M",Inputs_S34!$C$13,Inputs_S34!$C$14),IF($B$4="M",Inputs_S34!$C$15,Inputs_S34!$C$16))*INDEX(ILT!$B$2:$C$122,MIN(C110,120)+1,IF($B$4="M",1,2))*(1-Inputs_S34!$C$17)^MAX(B110-Inputs_S34!$C$18,0)))</f>
        <v/>
      </c>
      <c r="E110">
        <f>E109*(1-D110)</f>
        <v/>
      </c>
      <c r="F110">
        <f>(E109+E110)/2</f>
        <v/>
      </c>
      <c r="G110">
        <f>IF(A110&lt;$B$6+1,0,IF(A110=$B$6+1,1,G109*(1+IF(B110=Inputs_S34!$C$7,Inputs_S34!$C$8,Inputs_S34!$C$6))))</f>
        <v/>
      </c>
      <c r="H110">
        <f>$B$14*G110*F110</f>
        <v/>
      </c>
      <c r="I110">
        <f>(1+Inputs_S34!$C$26)^-MIN(A110-0.5,$B$6)*(1+Inputs_S34!$C$27)^-MAX(A110-0.5-$B$6,0)</f>
        <v/>
      </c>
      <c r="J110">
        <f>H110*I110</f>
        <v/>
      </c>
    </row>
    <row r="111">
      <c r="A111" t="n">
        <v>93</v>
      </c>
      <c r="B111">
        <f>Inputs_S34!$C$2+A111</f>
        <v/>
      </c>
      <c r="C111">
        <f>$B$5+A111-1</f>
        <v/>
      </c>
      <c r="D111">
        <f>IF(C111&gt;=120,1,MIN(1,IF(A111&lt;=$B$6,IF($B$4="M",Inputs_S34!$C$13,Inputs_S34!$C$14),IF($B$4="M",Inputs_S34!$C$15,Inputs_S34!$C$16))*INDEX(ILT!$B$2:$C$122,MIN(C111,120)+1,IF($B$4="M",1,2))*(1-Inputs_S34!$C$17)^MAX(B111-Inputs_S34!$C$18,0)))</f>
        <v/>
      </c>
      <c r="E111">
        <f>E110*(1-D111)</f>
        <v/>
      </c>
      <c r="F111">
        <f>(E110+E111)/2</f>
        <v/>
      </c>
      <c r="G111">
        <f>IF(A111&lt;$B$6+1,0,IF(A111=$B$6+1,1,G110*(1+IF(B111=Inputs_S34!$C$7,Inputs_S34!$C$8,Inputs_S34!$C$6))))</f>
        <v/>
      </c>
      <c r="H111">
        <f>$B$14*G111*F111</f>
        <v/>
      </c>
      <c r="I111">
        <f>(1+Inputs_S34!$C$26)^-MIN(A111-0.5,$B$6)*(1+Inputs_S34!$C$27)^-MAX(A111-0.5-$B$6,0)</f>
        <v/>
      </c>
      <c r="J111">
        <f>H111*I111</f>
        <v/>
      </c>
    </row>
    <row r="112">
      <c r="A112" t="n">
        <v>94</v>
      </c>
      <c r="B112">
        <f>Inputs_S34!$C$2+A112</f>
        <v/>
      </c>
      <c r="C112">
        <f>$B$5+A112-1</f>
        <v/>
      </c>
      <c r="D112">
        <f>IF(C112&gt;=120,1,MIN(1,IF(A112&lt;=$B$6,IF($B$4="M",Inputs_S34!$C$13,Inputs_S34!$C$14),IF($B$4="M",Inputs_S34!$C$15,Inputs_S34!$C$16))*INDEX(ILT!$B$2:$C$122,MIN(C112,120)+1,IF($B$4="M",1,2))*(1-Inputs_S34!$C$17)^MAX(B112-Inputs_S34!$C$18,0)))</f>
        <v/>
      </c>
      <c r="E112">
        <f>E111*(1-D112)</f>
        <v/>
      </c>
      <c r="F112">
        <f>(E111+E112)/2</f>
        <v/>
      </c>
      <c r="G112">
        <f>IF(A112&lt;$B$6+1,0,IF(A112=$B$6+1,1,G111*(1+IF(B112=Inputs_S34!$C$7,Inputs_S34!$C$8,Inputs_S34!$C$6))))</f>
        <v/>
      </c>
      <c r="H112">
        <f>$B$14*G112*F112</f>
        <v/>
      </c>
      <c r="I112">
        <f>(1+Inputs_S34!$C$26)^-MIN(A112-0.5,$B$6)*(1+Inputs_S34!$C$27)^-MAX(A112-0.5-$B$6,0)</f>
        <v/>
      </c>
      <c r="J112">
        <f>H112*I112</f>
        <v/>
      </c>
    </row>
    <row r="113">
      <c r="A113" t="n">
        <v>95</v>
      </c>
      <c r="B113">
        <f>Inputs_S34!$C$2+A113</f>
        <v/>
      </c>
      <c r="C113">
        <f>$B$5+A113-1</f>
        <v/>
      </c>
      <c r="D113">
        <f>IF(C113&gt;=120,1,MIN(1,IF(A113&lt;=$B$6,IF($B$4="M",Inputs_S34!$C$13,Inputs_S34!$C$14),IF($B$4="M",Inputs_S34!$C$15,Inputs_S34!$C$16))*INDEX(ILT!$B$2:$C$122,MIN(C113,120)+1,IF($B$4="M",1,2))*(1-Inputs_S34!$C$17)^MAX(B113-Inputs_S34!$C$18,0)))</f>
        <v/>
      </c>
      <c r="E113">
        <f>E112*(1-D113)</f>
        <v/>
      </c>
      <c r="F113">
        <f>(E112+E113)/2</f>
        <v/>
      </c>
      <c r="G113">
        <f>IF(A113&lt;$B$6+1,0,IF(A113=$B$6+1,1,G112*(1+IF(B113=Inputs_S34!$C$7,Inputs_S34!$C$8,Inputs_S34!$C$6))))</f>
        <v/>
      </c>
      <c r="H113">
        <f>$B$14*G113*F113</f>
        <v/>
      </c>
      <c r="I113">
        <f>(1+Inputs_S34!$C$26)^-MIN(A113-0.5,$B$6)*(1+Inputs_S34!$C$27)^-MAX(A113-0.5-$B$6,0)</f>
        <v/>
      </c>
      <c r="J113">
        <f>H113*I113</f>
        <v/>
      </c>
    </row>
    <row r="114">
      <c r="A114" t="n">
        <v>96</v>
      </c>
      <c r="B114">
        <f>Inputs_S34!$C$2+A114</f>
        <v/>
      </c>
      <c r="C114">
        <f>$B$5+A114-1</f>
        <v/>
      </c>
      <c r="D114">
        <f>IF(C114&gt;=120,1,MIN(1,IF(A114&lt;=$B$6,IF($B$4="M",Inputs_S34!$C$13,Inputs_S34!$C$14),IF($B$4="M",Inputs_S34!$C$15,Inputs_S34!$C$16))*INDEX(ILT!$B$2:$C$122,MIN(C114,120)+1,IF($B$4="M",1,2))*(1-Inputs_S34!$C$17)^MAX(B114-Inputs_S34!$C$18,0)))</f>
        <v/>
      </c>
      <c r="E114">
        <f>E113*(1-D114)</f>
        <v/>
      </c>
      <c r="F114">
        <f>(E113+E114)/2</f>
        <v/>
      </c>
      <c r="G114">
        <f>IF(A114&lt;$B$6+1,0,IF(A114=$B$6+1,1,G113*(1+IF(B114=Inputs_S34!$C$7,Inputs_S34!$C$8,Inputs_S34!$C$6))))</f>
        <v/>
      </c>
      <c r="H114">
        <f>$B$14*G114*F114</f>
        <v/>
      </c>
      <c r="I114">
        <f>(1+Inputs_S34!$C$26)^-MIN(A114-0.5,$B$6)*(1+Inputs_S34!$C$27)^-MAX(A114-0.5-$B$6,0)</f>
        <v/>
      </c>
      <c r="J114">
        <f>H114*I114</f>
        <v/>
      </c>
    </row>
    <row r="115">
      <c r="A115" t="n">
        <v>97</v>
      </c>
      <c r="B115">
        <f>Inputs_S34!$C$2+A115</f>
        <v/>
      </c>
      <c r="C115">
        <f>$B$5+A115-1</f>
        <v/>
      </c>
      <c r="D115">
        <f>IF(C115&gt;=120,1,MIN(1,IF(A115&lt;=$B$6,IF($B$4="M",Inputs_S34!$C$13,Inputs_S34!$C$14),IF($B$4="M",Inputs_S34!$C$15,Inputs_S34!$C$16))*INDEX(ILT!$B$2:$C$122,MIN(C115,120)+1,IF($B$4="M",1,2))*(1-Inputs_S34!$C$17)^MAX(B115-Inputs_S34!$C$18,0)))</f>
        <v/>
      </c>
      <c r="E115">
        <f>E114*(1-D115)</f>
        <v/>
      </c>
      <c r="F115">
        <f>(E114+E115)/2</f>
        <v/>
      </c>
      <c r="G115">
        <f>IF(A115&lt;$B$6+1,0,IF(A115=$B$6+1,1,G114*(1+IF(B115=Inputs_S34!$C$7,Inputs_S34!$C$8,Inputs_S34!$C$6))))</f>
        <v/>
      </c>
      <c r="H115">
        <f>$B$14*G115*F115</f>
        <v/>
      </c>
      <c r="I115">
        <f>(1+Inputs_S34!$C$26)^-MIN(A115-0.5,$B$6)*(1+Inputs_S34!$C$27)^-MAX(A115-0.5-$B$6,0)</f>
        <v/>
      </c>
      <c r="J115">
        <f>H115*I115</f>
        <v/>
      </c>
    </row>
    <row r="116">
      <c r="A116" t="n">
        <v>98</v>
      </c>
      <c r="B116">
        <f>Inputs_S34!$C$2+A116</f>
        <v/>
      </c>
      <c r="C116">
        <f>$B$5+A116-1</f>
        <v/>
      </c>
      <c r="D116">
        <f>IF(C116&gt;=120,1,MIN(1,IF(A116&lt;=$B$6,IF($B$4="M",Inputs_S34!$C$13,Inputs_S34!$C$14),IF($B$4="M",Inputs_S34!$C$15,Inputs_S34!$C$16))*INDEX(ILT!$B$2:$C$122,MIN(C116,120)+1,IF($B$4="M",1,2))*(1-Inputs_S34!$C$17)^MAX(B116-Inputs_S34!$C$18,0)))</f>
        <v/>
      </c>
      <c r="E116">
        <f>E115*(1-D116)</f>
        <v/>
      </c>
      <c r="F116">
        <f>(E115+E116)/2</f>
        <v/>
      </c>
      <c r="G116">
        <f>IF(A116&lt;$B$6+1,0,IF(A116=$B$6+1,1,G115*(1+IF(B116=Inputs_S34!$C$7,Inputs_S34!$C$8,Inputs_S34!$C$6))))</f>
        <v/>
      </c>
      <c r="H116">
        <f>$B$14*G116*F116</f>
        <v/>
      </c>
      <c r="I116">
        <f>(1+Inputs_S34!$C$26)^-MIN(A116-0.5,$B$6)*(1+Inputs_S34!$C$27)^-MAX(A116-0.5-$B$6,0)</f>
        <v/>
      </c>
      <c r="J116">
        <f>H116*I116</f>
        <v/>
      </c>
    </row>
    <row r="117">
      <c r="A117" t="n">
        <v>99</v>
      </c>
      <c r="B117">
        <f>Inputs_S34!$C$2+A117</f>
        <v/>
      </c>
      <c r="C117">
        <f>$B$5+A117-1</f>
        <v/>
      </c>
      <c r="D117">
        <f>IF(C117&gt;=120,1,MIN(1,IF(A117&lt;=$B$6,IF($B$4="M",Inputs_S34!$C$13,Inputs_S34!$C$14),IF($B$4="M",Inputs_S34!$C$15,Inputs_S34!$C$16))*INDEX(ILT!$B$2:$C$122,MIN(C117,120)+1,IF($B$4="M",1,2))*(1-Inputs_S34!$C$17)^MAX(B117-Inputs_S34!$C$18,0)))</f>
        <v/>
      </c>
      <c r="E117">
        <f>E116*(1-D117)</f>
        <v/>
      </c>
      <c r="F117">
        <f>(E116+E117)/2</f>
        <v/>
      </c>
      <c r="G117">
        <f>IF(A117&lt;$B$6+1,0,IF(A117=$B$6+1,1,G116*(1+IF(B117=Inputs_S34!$C$7,Inputs_S34!$C$8,Inputs_S34!$C$6))))</f>
        <v/>
      </c>
      <c r="H117">
        <f>$B$14*G117*F117</f>
        <v/>
      </c>
      <c r="I117">
        <f>(1+Inputs_S34!$C$26)^-MIN(A117-0.5,$B$6)*(1+Inputs_S34!$C$27)^-MAX(A117-0.5-$B$6,0)</f>
        <v/>
      </c>
      <c r="J117">
        <f>H117*I117</f>
        <v/>
      </c>
    </row>
    <row r="118">
      <c r="A118" t="n">
        <v>100</v>
      </c>
      <c r="B118">
        <f>Inputs_S34!$C$2+A118</f>
        <v/>
      </c>
      <c r="C118">
        <f>$B$5+A118-1</f>
        <v/>
      </c>
      <c r="D118">
        <f>IF(C118&gt;=120,1,MIN(1,IF(A118&lt;=$B$6,IF($B$4="M",Inputs_S34!$C$13,Inputs_S34!$C$14),IF($B$4="M",Inputs_S34!$C$15,Inputs_S34!$C$16))*INDEX(ILT!$B$2:$C$122,MIN(C118,120)+1,IF($B$4="M",1,2))*(1-Inputs_S34!$C$17)^MAX(B118-Inputs_S34!$C$18,0)))</f>
        <v/>
      </c>
      <c r="E118">
        <f>E117*(1-D118)</f>
        <v/>
      </c>
      <c r="F118">
        <f>(E117+E118)/2</f>
        <v/>
      </c>
      <c r="G118">
        <f>IF(A118&lt;$B$6+1,0,IF(A118=$B$6+1,1,G117*(1+IF(B118=Inputs_S34!$C$7,Inputs_S34!$C$8,Inputs_S34!$C$6))))</f>
        <v/>
      </c>
      <c r="H118">
        <f>$B$14*G118*F118</f>
        <v/>
      </c>
      <c r="I118">
        <f>(1+Inputs_S34!$C$26)^-MIN(A118-0.5,$B$6)*(1+Inputs_S34!$C$27)^-MAX(A118-0.5-$B$6,0)</f>
        <v/>
      </c>
      <c r="J118">
        <f>H118*I118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FS_Active: active treated as leaving at the valuation date (Funding Standard)</t>
        </is>
      </c>
    </row>
    <row r="3">
      <c r="A3" t="inlineStr">
        <is>
          <t>member_id</t>
        </is>
      </c>
      <c r="B3" s="2" t="inlineStr">
        <is>
          <t>M0013</t>
        </is>
      </c>
      <c r="D3" t="inlineStr">
        <is>
          <t>PV at 6% / 4.25%</t>
        </is>
      </c>
      <c r="E3">
        <f>SUM(J19:J118)</f>
        <v/>
      </c>
    </row>
    <row r="4">
      <c r="A4" t="inlineStr">
        <is>
          <t>sex</t>
        </is>
      </c>
      <c r="B4" s="2" t="inlineStr">
        <is>
          <t>M</t>
        </is>
      </c>
      <c r="D4" t="inlineStr">
        <is>
          <t>MVA pre</t>
        </is>
      </c>
      <c r="E4">
        <f>((1+Inputs_S34!$C$26)/(1+Inputs_S34!$C$27+MIN($B$6,Inputs_S34!$C$28)/Inputs_S34!$C$29*(Inputs_S34!$C$26-Inputs_S34!$C$27)))^MIN($B$6,Inputs_S34!$C$28)</f>
        <v/>
      </c>
    </row>
    <row r="5">
      <c r="A5" t="inlineStr">
        <is>
          <t>age x (nearest, at valuation)</t>
        </is>
      </c>
      <c r="B5" s="2" t="n">
        <v>43</v>
      </c>
      <c r="D5" t="inlineStr">
        <is>
          <t>MVA post</t>
        </is>
      </c>
      <c r="E5">
        <f>IF($B$6&lt;=Inputs_S34!$C$28,Inputs_S34!$C$30*(Inputs_S34!$C$28-$B$6)/Inputs_S34!$C$28+$B$6/Inputs_S34!$C$28,1)</f>
        <v/>
      </c>
    </row>
    <row r="6">
      <c r="A6" t="inlineStr">
        <is>
          <t>T (years to 65)</t>
        </is>
      </c>
      <c r="B6" s="2" t="n">
        <v>22</v>
      </c>
      <c r="D6" t="inlineStr">
        <is>
          <t>Transfer value</t>
        </is>
      </c>
      <c r="E6">
        <f>E3*E4*E5</f>
        <v/>
      </c>
    </row>
    <row r="7">
      <c r="A7" t="inlineStr">
        <is>
          <t>service n (years)</t>
        </is>
      </c>
      <c r="B7" s="2" t="n">
        <v>21.2485</v>
      </c>
    </row>
    <row r="8">
      <c r="A8" t="inlineStr">
        <is>
          <t>salary (2025)</t>
        </is>
      </c>
      <c r="B8" s="2" t="n">
        <v>81469</v>
      </c>
    </row>
    <row r="9">
      <c r="A9" t="inlineStr">
        <is>
          <t>pension if leaving today</t>
        </is>
      </c>
      <c r="B9">
        <f>MIN(B7,Inputs_S34!$C$12)/Inputs_S34!$C$11*MAX(B8-Inputs_S34!$C$10*Inputs_S34!$C$9,0)</f>
        <v/>
      </c>
    </row>
    <row r="10">
      <c r="A10" t="inlineStr">
        <is>
          <t>pension at 65 x loading</t>
        </is>
      </c>
      <c r="B10">
        <f>B9*(1+Inputs_S34!$C$5)^B6*(1+IF($B$4="M",Inputs_S34!$C$23,Inputs_S34!$C$24))^MAX(Inputs_S34!$C$2+$B$6-Inputs_S34!$C$25,0)</f>
        <v/>
      </c>
    </row>
    <row r="17">
      <c r="A17" s="3" t="inlineStr">
        <is>
          <t>t</t>
        </is>
      </c>
      <c r="B17" s="3" t="inlineStr">
        <is>
          <t>year</t>
        </is>
      </c>
      <c r="C17" s="3" t="inlineStr">
        <is>
          <t>age</t>
        </is>
      </c>
      <c r="D17" s="3" t="inlineStr">
        <is>
          <t>q</t>
        </is>
      </c>
      <c r="E17" s="3" t="inlineStr">
        <is>
          <t>survival</t>
        </is>
      </c>
      <c r="F17" s="3" t="inlineStr">
        <is>
          <t>avg survival</t>
        </is>
      </c>
      <c r="G17" s="3" t="inlineStr">
        <is>
          <t>pension index</t>
        </is>
      </c>
      <c r="H17" s="3" t="inlineStr">
        <is>
          <t>cash flow</t>
        </is>
      </c>
      <c r="I17" s="3" t="inlineStr">
        <is>
          <t>DF 1</t>
        </is>
      </c>
      <c r="J17" s="3" t="inlineStr">
        <is>
          <t>PV 1</t>
        </is>
      </c>
      <c r="K17" s="3" t="inlineStr">
        <is>
          <t>PV 2</t>
        </is>
      </c>
    </row>
    <row r="18">
      <c r="A18" t="n">
        <v>0</v>
      </c>
      <c r="E18" t="n">
        <v>1</v>
      </c>
      <c r="G18" t="n">
        <v>0</v>
      </c>
    </row>
    <row r="19">
      <c r="A19" t="n">
        <v>1</v>
      </c>
      <c r="B19">
        <f>Inputs_S34!$C$2+A19</f>
        <v/>
      </c>
      <c r="C19">
        <f>$B$5+A19-1</f>
        <v/>
      </c>
      <c r="D19">
        <f>IF(C19&gt;=120,1,MIN(1,IF(A19&lt;=$B$6,IF($B$4="M",Inputs_S34!$C$13,Inputs_S34!$C$14),IF($B$4="M",Inputs_S34!$C$15,Inputs_S34!$C$16))*INDEX(ILT!$B$2:$C$122,MIN(C19,120)+1,IF($B$4="M",1,2))*(1-Inputs_S34!$C$17)^MAX(B19-Inputs_S34!$C$18,0)))</f>
        <v/>
      </c>
      <c r="E19">
        <f>E18*(1-D19)</f>
        <v/>
      </c>
      <c r="F19">
        <f>(E18+E19)/2</f>
        <v/>
      </c>
      <c r="G19">
        <f>IF(A19&lt;$B$6+1,0,IF(A19=$B$6+1,1,G18*(1+IF(B19=Inputs_S34!$C$7,Inputs_S34!$C$8,Inputs_S34!$C$6))))</f>
        <v/>
      </c>
      <c r="H19">
        <f>$B$10*G19*F19</f>
        <v/>
      </c>
      <c r="I19">
        <f>(1+Inputs_S34!$C$26)^-MIN(A19-0.5,$B$6)*(1+Inputs_S34!$C$27)^-MAX(A19-0.5-$B$6,0)</f>
        <v/>
      </c>
      <c r="J19">
        <f>H19*I19</f>
        <v/>
      </c>
    </row>
    <row r="20">
      <c r="A20" t="n">
        <v>2</v>
      </c>
      <c r="B20">
        <f>Inputs_S34!$C$2+A20</f>
        <v/>
      </c>
      <c r="C20">
        <f>$B$5+A20-1</f>
        <v/>
      </c>
      <c r="D20">
        <f>IF(C20&gt;=120,1,MIN(1,IF(A20&lt;=$B$6,IF($B$4="M",Inputs_S34!$C$13,Inputs_S34!$C$14),IF($B$4="M",Inputs_S34!$C$15,Inputs_S34!$C$16))*INDEX(ILT!$B$2:$C$122,MIN(C20,120)+1,IF($B$4="M",1,2))*(1-Inputs_S34!$C$17)^MAX(B20-Inputs_S34!$C$18,0)))</f>
        <v/>
      </c>
      <c r="E20">
        <f>E19*(1-D20)</f>
        <v/>
      </c>
      <c r="F20">
        <f>(E19+E20)/2</f>
        <v/>
      </c>
      <c r="G20">
        <f>IF(A20&lt;$B$6+1,0,IF(A20=$B$6+1,1,G19*(1+IF(B20=Inputs_S34!$C$7,Inputs_S34!$C$8,Inputs_S34!$C$6))))</f>
        <v/>
      </c>
      <c r="H20">
        <f>$B$10*G20*F20</f>
        <v/>
      </c>
      <c r="I20">
        <f>(1+Inputs_S34!$C$26)^-MIN(A20-0.5,$B$6)*(1+Inputs_S34!$C$27)^-MAX(A20-0.5-$B$6,0)</f>
        <v/>
      </c>
      <c r="J20">
        <f>H20*I20</f>
        <v/>
      </c>
    </row>
    <row r="21">
      <c r="A21" t="n">
        <v>3</v>
      </c>
      <c r="B21">
        <f>Inputs_S34!$C$2+A21</f>
        <v/>
      </c>
      <c r="C21">
        <f>$B$5+A21-1</f>
        <v/>
      </c>
      <c r="D21">
        <f>IF(C21&gt;=120,1,MIN(1,IF(A21&lt;=$B$6,IF($B$4="M",Inputs_S34!$C$13,Inputs_S34!$C$14),IF($B$4="M",Inputs_S34!$C$15,Inputs_S34!$C$16))*INDEX(ILT!$B$2:$C$122,MIN(C21,120)+1,IF($B$4="M",1,2))*(1-Inputs_S34!$C$17)^MAX(B21-Inputs_S34!$C$18,0)))</f>
        <v/>
      </c>
      <c r="E21">
        <f>E20*(1-D21)</f>
        <v/>
      </c>
      <c r="F21">
        <f>(E20+E21)/2</f>
        <v/>
      </c>
      <c r="G21">
        <f>IF(A21&lt;$B$6+1,0,IF(A21=$B$6+1,1,G20*(1+IF(B21=Inputs_S34!$C$7,Inputs_S34!$C$8,Inputs_S34!$C$6))))</f>
        <v/>
      </c>
      <c r="H21">
        <f>$B$10*G21*F21</f>
        <v/>
      </c>
      <c r="I21">
        <f>(1+Inputs_S34!$C$26)^-MIN(A21-0.5,$B$6)*(1+Inputs_S34!$C$27)^-MAX(A21-0.5-$B$6,0)</f>
        <v/>
      </c>
      <c r="J21">
        <f>H21*I21</f>
        <v/>
      </c>
    </row>
    <row r="22">
      <c r="A22" t="n">
        <v>4</v>
      </c>
      <c r="B22">
        <f>Inputs_S34!$C$2+A22</f>
        <v/>
      </c>
      <c r="C22">
        <f>$B$5+A22-1</f>
        <v/>
      </c>
      <c r="D22">
        <f>IF(C22&gt;=120,1,MIN(1,IF(A22&lt;=$B$6,IF($B$4="M",Inputs_S34!$C$13,Inputs_S34!$C$14),IF($B$4="M",Inputs_S34!$C$15,Inputs_S34!$C$16))*INDEX(ILT!$B$2:$C$122,MIN(C22,120)+1,IF($B$4="M",1,2))*(1-Inputs_S34!$C$17)^MAX(B22-Inputs_S34!$C$18,0)))</f>
        <v/>
      </c>
      <c r="E22">
        <f>E21*(1-D22)</f>
        <v/>
      </c>
      <c r="F22">
        <f>(E21+E22)/2</f>
        <v/>
      </c>
      <c r="G22">
        <f>IF(A22&lt;$B$6+1,0,IF(A22=$B$6+1,1,G21*(1+IF(B22=Inputs_S34!$C$7,Inputs_S34!$C$8,Inputs_S34!$C$6))))</f>
        <v/>
      </c>
      <c r="H22">
        <f>$B$10*G22*F22</f>
        <v/>
      </c>
      <c r="I22">
        <f>(1+Inputs_S34!$C$26)^-MIN(A22-0.5,$B$6)*(1+Inputs_S34!$C$27)^-MAX(A22-0.5-$B$6,0)</f>
        <v/>
      </c>
      <c r="J22">
        <f>H22*I22</f>
        <v/>
      </c>
    </row>
    <row r="23">
      <c r="A23" t="n">
        <v>5</v>
      </c>
      <c r="B23">
        <f>Inputs_S34!$C$2+A23</f>
        <v/>
      </c>
      <c r="C23">
        <f>$B$5+A23-1</f>
        <v/>
      </c>
      <c r="D23">
        <f>IF(C23&gt;=120,1,MIN(1,IF(A23&lt;=$B$6,IF($B$4="M",Inputs_S34!$C$13,Inputs_S34!$C$14),IF($B$4="M",Inputs_S34!$C$15,Inputs_S34!$C$16))*INDEX(ILT!$B$2:$C$122,MIN(C23,120)+1,IF($B$4="M",1,2))*(1-Inputs_S34!$C$17)^MAX(B23-Inputs_S34!$C$18,0)))</f>
        <v/>
      </c>
      <c r="E23">
        <f>E22*(1-D23)</f>
        <v/>
      </c>
      <c r="F23">
        <f>(E22+E23)/2</f>
        <v/>
      </c>
      <c r="G23">
        <f>IF(A23&lt;$B$6+1,0,IF(A23=$B$6+1,1,G22*(1+IF(B23=Inputs_S34!$C$7,Inputs_S34!$C$8,Inputs_S34!$C$6))))</f>
        <v/>
      </c>
      <c r="H23">
        <f>$B$10*G23*F23</f>
        <v/>
      </c>
      <c r="I23">
        <f>(1+Inputs_S34!$C$26)^-MIN(A23-0.5,$B$6)*(1+Inputs_S34!$C$27)^-MAX(A23-0.5-$B$6,0)</f>
        <v/>
      </c>
      <c r="J23">
        <f>H23*I23</f>
        <v/>
      </c>
    </row>
    <row r="24">
      <c r="A24" t="n">
        <v>6</v>
      </c>
      <c r="B24">
        <f>Inputs_S34!$C$2+A24</f>
        <v/>
      </c>
      <c r="C24">
        <f>$B$5+A24-1</f>
        <v/>
      </c>
      <c r="D24">
        <f>IF(C24&gt;=120,1,MIN(1,IF(A24&lt;=$B$6,IF($B$4="M",Inputs_S34!$C$13,Inputs_S34!$C$14),IF($B$4="M",Inputs_S34!$C$15,Inputs_S34!$C$16))*INDEX(ILT!$B$2:$C$122,MIN(C24,120)+1,IF($B$4="M",1,2))*(1-Inputs_S34!$C$17)^MAX(B24-Inputs_S34!$C$18,0)))</f>
        <v/>
      </c>
      <c r="E24">
        <f>E23*(1-D24)</f>
        <v/>
      </c>
      <c r="F24">
        <f>(E23+E24)/2</f>
        <v/>
      </c>
      <c r="G24">
        <f>IF(A24&lt;$B$6+1,0,IF(A24=$B$6+1,1,G23*(1+IF(B24=Inputs_S34!$C$7,Inputs_S34!$C$8,Inputs_S34!$C$6))))</f>
        <v/>
      </c>
      <c r="H24">
        <f>$B$10*G24*F24</f>
        <v/>
      </c>
      <c r="I24">
        <f>(1+Inputs_S34!$C$26)^-MIN(A24-0.5,$B$6)*(1+Inputs_S34!$C$27)^-MAX(A24-0.5-$B$6,0)</f>
        <v/>
      </c>
      <c r="J24">
        <f>H24*I24</f>
        <v/>
      </c>
    </row>
    <row r="25">
      <c r="A25" t="n">
        <v>7</v>
      </c>
      <c r="B25">
        <f>Inputs_S34!$C$2+A25</f>
        <v/>
      </c>
      <c r="C25">
        <f>$B$5+A25-1</f>
        <v/>
      </c>
      <c r="D25">
        <f>IF(C25&gt;=120,1,MIN(1,IF(A25&lt;=$B$6,IF($B$4="M",Inputs_S34!$C$13,Inputs_S34!$C$14),IF($B$4="M",Inputs_S34!$C$15,Inputs_S34!$C$16))*INDEX(ILT!$B$2:$C$122,MIN(C25,120)+1,IF($B$4="M",1,2))*(1-Inputs_S34!$C$17)^MAX(B25-Inputs_S34!$C$18,0)))</f>
        <v/>
      </c>
      <c r="E25">
        <f>E24*(1-D25)</f>
        <v/>
      </c>
      <c r="F25">
        <f>(E24+E25)/2</f>
        <v/>
      </c>
      <c r="G25">
        <f>IF(A25&lt;$B$6+1,0,IF(A25=$B$6+1,1,G24*(1+IF(B25=Inputs_S34!$C$7,Inputs_S34!$C$8,Inputs_S34!$C$6))))</f>
        <v/>
      </c>
      <c r="H25">
        <f>$B$10*G25*F25</f>
        <v/>
      </c>
      <c r="I25">
        <f>(1+Inputs_S34!$C$26)^-MIN(A25-0.5,$B$6)*(1+Inputs_S34!$C$27)^-MAX(A25-0.5-$B$6,0)</f>
        <v/>
      </c>
      <c r="J25">
        <f>H25*I25</f>
        <v/>
      </c>
    </row>
    <row r="26">
      <c r="A26" t="n">
        <v>8</v>
      </c>
      <c r="B26">
        <f>Inputs_S34!$C$2+A26</f>
        <v/>
      </c>
      <c r="C26">
        <f>$B$5+A26-1</f>
        <v/>
      </c>
      <c r="D26">
        <f>IF(C26&gt;=120,1,MIN(1,IF(A26&lt;=$B$6,IF($B$4="M",Inputs_S34!$C$13,Inputs_S34!$C$14),IF($B$4="M",Inputs_S34!$C$15,Inputs_S34!$C$16))*INDEX(ILT!$B$2:$C$122,MIN(C26,120)+1,IF($B$4="M",1,2))*(1-Inputs_S34!$C$17)^MAX(B26-Inputs_S34!$C$18,0)))</f>
        <v/>
      </c>
      <c r="E26">
        <f>E25*(1-D26)</f>
        <v/>
      </c>
      <c r="F26">
        <f>(E25+E26)/2</f>
        <v/>
      </c>
      <c r="G26">
        <f>IF(A26&lt;$B$6+1,0,IF(A26=$B$6+1,1,G25*(1+IF(B26=Inputs_S34!$C$7,Inputs_S34!$C$8,Inputs_S34!$C$6))))</f>
        <v/>
      </c>
      <c r="H26">
        <f>$B$10*G26*F26</f>
        <v/>
      </c>
      <c r="I26">
        <f>(1+Inputs_S34!$C$26)^-MIN(A26-0.5,$B$6)*(1+Inputs_S34!$C$27)^-MAX(A26-0.5-$B$6,0)</f>
        <v/>
      </c>
      <c r="J26">
        <f>H26*I26</f>
        <v/>
      </c>
    </row>
    <row r="27">
      <c r="A27" t="n">
        <v>9</v>
      </c>
      <c r="B27">
        <f>Inputs_S34!$C$2+A27</f>
        <v/>
      </c>
      <c r="C27">
        <f>$B$5+A27-1</f>
        <v/>
      </c>
      <c r="D27">
        <f>IF(C27&gt;=120,1,MIN(1,IF(A27&lt;=$B$6,IF($B$4="M",Inputs_S34!$C$13,Inputs_S34!$C$14),IF($B$4="M",Inputs_S34!$C$15,Inputs_S34!$C$16))*INDEX(ILT!$B$2:$C$122,MIN(C27,120)+1,IF($B$4="M",1,2))*(1-Inputs_S34!$C$17)^MAX(B27-Inputs_S34!$C$18,0)))</f>
        <v/>
      </c>
      <c r="E27">
        <f>E26*(1-D27)</f>
        <v/>
      </c>
      <c r="F27">
        <f>(E26+E27)/2</f>
        <v/>
      </c>
      <c r="G27">
        <f>IF(A27&lt;$B$6+1,0,IF(A27=$B$6+1,1,G26*(1+IF(B27=Inputs_S34!$C$7,Inputs_S34!$C$8,Inputs_S34!$C$6))))</f>
        <v/>
      </c>
      <c r="H27">
        <f>$B$10*G27*F27</f>
        <v/>
      </c>
      <c r="I27">
        <f>(1+Inputs_S34!$C$26)^-MIN(A27-0.5,$B$6)*(1+Inputs_S34!$C$27)^-MAX(A27-0.5-$B$6,0)</f>
        <v/>
      </c>
      <c r="J27">
        <f>H27*I27</f>
        <v/>
      </c>
    </row>
    <row r="28">
      <c r="A28" t="n">
        <v>10</v>
      </c>
      <c r="B28">
        <f>Inputs_S34!$C$2+A28</f>
        <v/>
      </c>
      <c r="C28">
        <f>$B$5+A28-1</f>
        <v/>
      </c>
      <c r="D28">
        <f>IF(C28&gt;=120,1,MIN(1,IF(A28&lt;=$B$6,IF($B$4="M",Inputs_S34!$C$13,Inputs_S34!$C$14),IF($B$4="M",Inputs_S34!$C$15,Inputs_S34!$C$16))*INDEX(ILT!$B$2:$C$122,MIN(C28,120)+1,IF($B$4="M",1,2))*(1-Inputs_S34!$C$17)^MAX(B28-Inputs_S34!$C$18,0)))</f>
        <v/>
      </c>
      <c r="E28">
        <f>E27*(1-D28)</f>
        <v/>
      </c>
      <c r="F28">
        <f>(E27+E28)/2</f>
        <v/>
      </c>
      <c r="G28">
        <f>IF(A28&lt;$B$6+1,0,IF(A28=$B$6+1,1,G27*(1+IF(B28=Inputs_S34!$C$7,Inputs_S34!$C$8,Inputs_S34!$C$6))))</f>
        <v/>
      </c>
      <c r="H28">
        <f>$B$10*G28*F28</f>
        <v/>
      </c>
      <c r="I28">
        <f>(1+Inputs_S34!$C$26)^-MIN(A28-0.5,$B$6)*(1+Inputs_S34!$C$27)^-MAX(A28-0.5-$B$6,0)</f>
        <v/>
      </c>
      <c r="J28">
        <f>H28*I28</f>
        <v/>
      </c>
    </row>
    <row r="29">
      <c r="A29" t="n">
        <v>11</v>
      </c>
      <c r="B29">
        <f>Inputs_S34!$C$2+A29</f>
        <v/>
      </c>
      <c r="C29">
        <f>$B$5+A29-1</f>
        <v/>
      </c>
      <c r="D29">
        <f>IF(C29&gt;=120,1,MIN(1,IF(A29&lt;=$B$6,IF($B$4="M",Inputs_S34!$C$13,Inputs_S34!$C$14),IF($B$4="M",Inputs_S34!$C$15,Inputs_S34!$C$16))*INDEX(ILT!$B$2:$C$122,MIN(C29,120)+1,IF($B$4="M",1,2))*(1-Inputs_S34!$C$17)^MAX(B29-Inputs_S34!$C$18,0)))</f>
        <v/>
      </c>
      <c r="E29">
        <f>E28*(1-D29)</f>
        <v/>
      </c>
      <c r="F29">
        <f>(E28+E29)/2</f>
        <v/>
      </c>
      <c r="G29">
        <f>IF(A29&lt;$B$6+1,0,IF(A29=$B$6+1,1,G28*(1+IF(B29=Inputs_S34!$C$7,Inputs_S34!$C$8,Inputs_S34!$C$6))))</f>
        <v/>
      </c>
      <c r="H29">
        <f>$B$10*G29*F29</f>
        <v/>
      </c>
      <c r="I29">
        <f>(1+Inputs_S34!$C$26)^-MIN(A29-0.5,$B$6)*(1+Inputs_S34!$C$27)^-MAX(A29-0.5-$B$6,0)</f>
        <v/>
      </c>
      <c r="J29">
        <f>H29*I29</f>
        <v/>
      </c>
    </row>
    <row r="30">
      <c r="A30" t="n">
        <v>12</v>
      </c>
      <c r="B30">
        <f>Inputs_S34!$C$2+A30</f>
        <v/>
      </c>
      <c r="C30">
        <f>$B$5+A30-1</f>
        <v/>
      </c>
      <c r="D30">
        <f>IF(C30&gt;=120,1,MIN(1,IF(A30&lt;=$B$6,IF($B$4="M",Inputs_S34!$C$13,Inputs_S34!$C$14),IF($B$4="M",Inputs_S34!$C$15,Inputs_S34!$C$16))*INDEX(ILT!$B$2:$C$122,MIN(C30,120)+1,IF($B$4="M",1,2))*(1-Inputs_S34!$C$17)^MAX(B30-Inputs_S34!$C$18,0)))</f>
        <v/>
      </c>
      <c r="E30">
        <f>E29*(1-D30)</f>
        <v/>
      </c>
      <c r="F30">
        <f>(E29+E30)/2</f>
        <v/>
      </c>
      <c r="G30">
        <f>IF(A30&lt;$B$6+1,0,IF(A30=$B$6+1,1,G29*(1+IF(B30=Inputs_S34!$C$7,Inputs_S34!$C$8,Inputs_S34!$C$6))))</f>
        <v/>
      </c>
      <c r="H30">
        <f>$B$10*G30*F30</f>
        <v/>
      </c>
      <c r="I30">
        <f>(1+Inputs_S34!$C$26)^-MIN(A30-0.5,$B$6)*(1+Inputs_S34!$C$27)^-MAX(A30-0.5-$B$6,0)</f>
        <v/>
      </c>
      <c r="J30">
        <f>H30*I30</f>
        <v/>
      </c>
    </row>
    <row r="31">
      <c r="A31" t="n">
        <v>13</v>
      </c>
      <c r="B31">
        <f>Inputs_S34!$C$2+A31</f>
        <v/>
      </c>
      <c r="C31">
        <f>$B$5+A31-1</f>
        <v/>
      </c>
      <c r="D31">
        <f>IF(C31&gt;=120,1,MIN(1,IF(A31&lt;=$B$6,IF($B$4="M",Inputs_S34!$C$13,Inputs_S34!$C$14),IF($B$4="M",Inputs_S34!$C$15,Inputs_S34!$C$16))*INDEX(ILT!$B$2:$C$122,MIN(C31,120)+1,IF($B$4="M",1,2))*(1-Inputs_S34!$C$17)^MAX(B31-Inputs_S34!$C$18,0)))</f>
        <v/>
      </c>
      <c r="E31">
        <f>E30*(1-D31)</f>
        <v/>
      </c>
      <c r="F31">
        <f>(E30+E31)/2</f>
        <v/>
      </c>
      <c r="G31">
        <f>IF(A31&lt;$B$6+1,0,IF(A31=$B$6+1,1,G30*(1+IF(B31=Inputs_S34!$C$7,Inputs_S34!$C$8,Inputs_S34!$C$6))))</f>
        <v/>
      </c>
      <c r="H31">
        <f>$B$10*G31*F31</f>
        <v/>
      </c>
      <c r="I31">
        <f>(1+Inputs_S34!$C$26)^-MIN(A31-0.5,$B$6)*(1+Inputs_S34!$C$27)^-MAX(A31-0.5-$B$6,0)</f>
        <v/>
      </c>
      <c r="J31">
        <f>H31*I31</f>
        <v/>
      </c>
    </row>
    <row r="32">
      <c r="A32" t="n">
        <v>14</v>
      </c>
      <c r="B32">
        <f>Inputs_S34!$C$2+A32</f>
        <v/>
      </c>
      <c r="C32">
        <f>$B$5+A32-1</f>
        <v/>
      </c>
      <c r="D32">
        <f>IF(C32&gt;=120,1,MIN(1,IF(A32&lt;=$B$6,IF($B$4="M",Inputs_S34!$C$13,Inputs_S34!$C$14),IF($B$4="M",Inputs_S34!$C$15,Inputs_S34!$C$16))*INDEX(ILT!$B$2:$C$122,MIN(C32,120)+1,IF($B$4="M",1,2))*(1-Inputs_S34!$C$17)^MAX(B32-Inputs_S34!$C$18,0)))</f>
        <v/>
      </c>
      <c r="E32">
        <f>E31*(1-D32)</f>
        <v/>
      </c>
      <c r="F32">
        <f>(E31+E32)/2</f>
        <v/>
      </c>
      <c r="G32">
        <f>IF(A32&lt;$B$6+1,0,IF(A32=$B$6+1,1,G31*(1+IF(B32=Inputs_S34!$C$7,Inputs_S34!$C$8,Inputs_S34!$C$6))))</f>
        <v/>
      </c>
      <c r="H32">
        <f>$B$10*G32*F32</f>
        <v/>
      </c>
      <c r="I32">
        <f>(1+Inputs_S34!$C$26)^-MIN(A32-0.5,$B$6)*(1+Inputs_S34!$C$27)^-MAX(A32-0.5-$B$6,0)</f>
        <v/>
      </c>
      <c r="J32">
        <f>H32*I32</f>
        <v/>
      </c>
    </row>
    <row r="33">
      <c r="A33" t="n">
        <v>15</v>
      </c>
      <c r="B33">
        <f>Inputs_S34!$C$2+A33</f>
        <v/>
      </c>
      <c r="C33">
        <f>$B$5+A33-1</f>
        <v/>
      </c>
      <c r="D33">
        <f>IF(C33&gt;=120,1,MIN(1,IF(A33&lt;=$B$6,IF($B$4="M",Inputs_S34!$C$13,Inputs_S34!$C$14),IF($B$4="M",Inputs_S34!$C$15,Inputs_S34!$C$16))*INDEX(ILT!$B$2:$C$122,MIN(C33,120)+1,IF($B$4="M",1,2))*(1-Inputs_S34!$C$17)^MAX(B33-Inputs_S34!$C$18,0)))</f>
        <v/>
      </c>
      <c r="E33">
        <f>E32*(1-D33)</f>
        <v/>
      </c>
      <c r="F33">
        <f>(E32+E33)/2</f>
        <v/>
      </c>
      <c r="G33">
        <f>IF(A33&lt;$B$6+1,0,IF(A33=$B$6+1,1,G32*(1+IF(B33=Inputs_S34!$C$7,Inputs_S34!$C$8,Inputs_S34!$C$6))))</f>
        <v/>
      </c>
      <c r="H33">
        <f>$B$10*G33*F33</f>
        <v/>
      </c>
      <c r="I33">
        <f>(1+Inputs_S34!$C$26)^-MIN(A33-0.5,$B$6)*(1+Inputs_S34!$C$27)^-MAX(A33-0.5-$B$6,0)</f>
        <v/>
      </c>
      <c r="J33">
        <f>H33*I33</f>
        <v/>
      </c>
    </row>
    <row r="34">
      <c r="A34" t="n">
        <v>16</v>
      </c>
      <c r="B34">
        <f>Inputs_S34!$C$2+A34</f>
        <v/>
      </c>
      <c r="C34">
        <f>$B$5+A34-1</f>
        <v/>
      </c>
      <c r="D34">
        <f>IF(C34&gt;=120,1,MIN(1,IF(A34&lt;=$B$6,IF($B$4="M",Inputs_S34!$C$13,Inputs_S34!$C$14),IF($B$4="M",Inputs_S34!$C$15,Inputs_S34!$C$16))*INDEX(ILT!$B$2:$C$122,MIN(C34,120)+1,IF($B$4="M",1,2))*(1-Inputs_S34!$C$17)^MAX(B34-Inputs_S34!$C$18,0)))</f>
        <v/>
      </c>
      <c r="E34">
        <f>E33*(1-D34)</f>
        <v/>
      </c>
      <c r="F34">
        <f>(E33+E34)/2</f>
        <v/>
      </c>
      <c r="G34">
        <f>IF(A34&lt;$B$6+1,0,IF(A34=$B$6+1,1,G33*(1+IF(B34=Inputs_S34!$C$7,Inputs_S34!$C$8,Inputs_S34!$C$6))))</f>
        <v/>
      </c>
      <c r="H34">
        <f>$B$10*G34*F34</f>
        <v/>
      </c>
      <c r="I34">
        <f>(1+Inputs_S34!$C$26)^-MIN(A34-0.5,$B$6)*(1+Inputs_S34!$C$27)^-MAX(A34-0.5-$B$6,0)</f>
        <v/>
      </c>
      <c r="J34">
        <f>H34*I34</f>
        <v/>
      </c>
    </row>
    <row r="35">
      <c r="A35" t="n">
        <v>17</v>
      </c>
      <c r="B35">
        <f>Inputs_S34!$C$2+A35</f>
        <v/>
      </c>
      <c r="C35">
        <f>$B$5+A35-1</f>
        <v/>
      </c>
      <c r="D35">
        <f>IF(C35&gt;=120,1,MIN(1,IF(A35&lt;=$B$6,IF($B$4="M",Inputs_S34!$C$13,Inputs_S34!$C$14),IF($B$4="M",Inputs_S34!$C$15,Inputs_S34!$C$16))*INDEX(ILT!$B$2:$C$122,MIN(C35,120)+1,IF($B$4="M",1,2))*(1-Inputs_S34!$C$17)^MAX(B35-Inputs_S34!$C$18,0)))</f>
        <v/>
      </c>
      <c r="E35">
        <f>E34*(1-D35)</f>
        <v/>
      </c>
      <c r="F35">
        <f>(E34+E35)/2</f>
        <v/>
      </c>
      <c r="G35">
        <f>IF(A35&lt;$B$6+1,0,IF(A35=$B$6+1,1,G34*(1+IF(B35=Inputs_S34!$C$7,Inputs_S34!$C$8,Inputs_S34!$C$6))))</f>
        <v/>
      </c>
      <c r="H35">
        <f>$B$10*G35*F35</f>
        <v/>
      </c>
      <c r="I35">
        <f>(1+Inputs_S34!$C$26)^-MIN(A35-0.5,$B$6)*(1+Inputs_S34!$C$27)^-MAX(A35-0.5-$B$6,0)</f>
        <v/>
      </c>
      <c r="J35">
        <f>H35*I35</f>
        <v/>
      </c>
    </row>
    <row r="36">
      <c r="A36" t="n">
        <v>18</v>
      </c>
      <c r="B36">
        <f>Inputs_S34!$C$2+A36</f>
        <v/>
      </c>
      <c r="C36">
        <f>$B$5+A36-1</f>
        <v/>
      </c>
      <c r="D36">
        <f>IF(C36&gt;=120,1,MIN(1,IF(A36&lt;=$B$6,IF($B$4="M",Inputs_S34!$C$13,Inputs_S34!$C$14),IF($B$4="M",Inputs_S34!$C$15,Inputs_S34!$C$16))*INDEX(ILT!$B$2:$C$122,MIN(C36,120)+1,IF($B$4="M",1,2))*(1-Inputs_S34!$C$17)^MAX(B36-Inputs_S34!$C$18,0)))</f>
        <v/>
      </c>
      <c r="E36">
        <f>E35*(1-D36)</f>
        <v/>
      </c>
      <c r="F36">
        <f>(E35+E36)/2</f>
        <v/>
      </c>
      <c r="G36">
        <f>IF(A36&lt;$B$6+1,0,IF(A36=$B$6+1,1,G35*(1+IF(B36=Inputs_S34!$C$7,Inputs_S34!$C$8,Inputs_S34!$C$6))))</f>
        <v/>
      </c>
      <c r="H36">
        <f>$B$10*G36*F36</f>
        <v/>
      </c>
      <c r="I36">
        <f>(1+Inputs_S34!$C$26)^-MIN(A36-0.5,$B$6)*(1+Inputs_S34!$C$27)^-MAX(A36-0.5-$B$6,0)</f>
        <v/>
      </c>
      <c r="J36">
        <f>H36*I36</f>
        <v/>
      </c>
    </row>
    <row r="37">
      <c r="A37" t="n">
        <v>19</v>
      </c>
      <c r="B37">
        <f>Inputs_S34!$C$2+A37</f>
        <v/>
      </c>
      <c r="C37">
        <f>$B$5+A37-1</f>
        <v/>
      </c>
      <c r="D37">
        <f>IF(C37&gt;=120,1,MIN(1,IF(A37&lt;=$B$6,IF($B$4="M",Inputs_S34!$C$13,Inputs_S34!$C$14),IF($B$4="M",Inputs_S34!$C$15,Inputs_S34!$C$16))*INDEX(ILT!$B$2:$C$122,MIN(C37,120)+1,IF($B$4="M",1,2))*(1-Inputs_S34!$C$17)^MAX(B37-Inputs_S34!$C$18,0)))</f>
        <v/>
      </c>
      <c r="E37">
        <f>E36*(1-D37)</f>
        <v/>
      </c>
      <c r="F37">
        <f>(E36+E37)/2</f>
        <v/>
      </c>
      <c r="G37">
        <f>IF(A37&lt;$B$6+1,0,IF(A37=$B$6+1,1,G36*(1+IF(B37=Inputs_S34!$C$7,Inputs_S34!$C$8,Inputs_S34!$C$6))))</f>
        <v/>
      </c>
      <c r="H37">
        <f>$B$10*G37*F37</f>
        <v/>
      </c>
      <c r="I37">
        <f>(1+Inputs_S34!$C$26)^-MIN(A37-0.5,$B$6)*(1+Inputs_S34!$C$27)^-MAX(A37-0.5-$B$6,0)</f>
        <v/>
      </c>
      <c r="J37">
        <f>H37*I37</f>
        <v/>
      </c>
    </row>
    <row r="38">
      <c r="A38" t="n">
        <v>20</v>
      </c>
      <c r="B38">
        <f>Inputs_S34!$C$2+A38</f>
        <v/>
      </c>
      <c r="C38">
        <f>$B$5+A38-1</f>
        <v/>
      </c>
      <c r="D38">
        <f>IF(C38&gt;=120,1,MIN(1,IF(A38&lt;=$B$6,IF($B$4="M",Inputs_S34!$C$13,Inputs_S34!$C$14),IF($B$4="M",Inputs_S34!$C$15,Inputs_S34!$C$16))*INDEX(ILT!$B$2:$C$122,MIN(C38,120)+1,IF($B$4="M",1,2))*(1-Inputs_S34!$C$17)^MAX(B38-Inputs_S34!$C$18,0)))</f>
        <v/>
      </c>
      <c r="E38">
        <f>E37*(1-D38)</f>
        <v/>
      </c>
      <c r="F38">
        <f>(E37+E38)/2</f>
        <v/>
      </c>
      <c r="G38">
        <f>IF(A38&lt;$B$6+1,0,IF(A38=$B$6+1,1,G37*(1+IF(B38=Inputs_S34!$C$7,Inputs_S34!$C$8,Inputs_S34!$C$6))))</f>
        <v/>
      </c>
      <c r="H38">
        <f>$B$10*G38*F38</f>
        <v/>
      </c>
      <c r="I38">
        <f>(1+Inputs_S34!$C$26)^-MIN(A38-0.5,$B$6)*(1+Inputs_S34!$C$27)^-MAX(A38-0.5-$B$6,0)</f>
        <v/>
      </c>
      <c r="J38">
        <f>H38*I38</f>
        <v/>
      </c>
    </row>
    <row r="39">
      <c r="A39" t="n">
        <v>21</v>
      </c>
      <c r="B39">
        <f>Inputs_S34!$C$2+A39</f>
        <v/>
      </c>
      <c r="C39">
        <f>$B$5+A39-1</f>
        <v/>
      </c>
      <c r="D39">
        <f>IF(C39&gt;=120,1,MIN(1,IF(A39&lt;=$B$6,IF($B$4="M",Inputs_S34!$C$13,Inputs_S34!$C$14),IF($B$4="M",Inputs_S34!$C$15,Inputs_S34!$C$16))*INDEX(ILT!$B$2:$C$122,MIN(C39,120)+1,IF($B$4="M",1,2))*(1-Inputs_S34!$C$17)^MAX(B39-Inputs_S34!$C$18,0)))</f>
        <v/>
      </c>
      <c r="E39">
        <f>E38*(1-D39)</f>
        <v/>
      </c>
      <c r="F39">
        <f>(E38+E39)/2</f>
        <v/>
      </c>
      <c r="G39">
        <f>IF(A39&lt;$B$6+1,0,IF(A39=$B$6+1,1,G38*(1+IF(B39=Inputs_S34!$C$7,Inputs_S34!$C$8,Inputs_S34!$C$6))))</f>
        <v/>
      </c>
      <c r="H39">
        <f>$B$10*G39*F39</f>
        <v/>
      </c>
      <c r="I39">
        <f>(1+Inputs_S34!$C$26)^-MIN(A39-0.5,$B$6)*(1+Inputs_S34!$C$27)^-MAX(A39-0.5-$B$6,0)</f>
        <v/>
      </c>
      <c r="J39">
        <f>H39*I39</f>
        <v/>
      </c>
    </row>
    <row r="40">
      <c r="A40" t="n">
        <v>22</v>
      </c>
      <c r="B40">
        <f>Inputs_S34!$C$2+A40</f>
        <v/>
      </c>
      <c r="C40">
        <f>$B$5+A40-1</f>
        <v/>
      </c>
      <c r="D40">
        <f>IF(C40&gt;=120,1,MIN(1,IF(A40&lt;=$B$6,IF($B$4="M",Inputs_S34!$C$13,Inputs_S34!$C$14),IF($B$4="M",Inputs_S34!$C$15,Inputs_S34!$C$16))*INDEX(ILT!$B$2:$C$122,MIN(C40,120)+1,IF($B$4="M",1,2))*(1-Inputs_S34!$C$17)^MAX(B40-Inputs_S34!$C$18,0)))</f>
        <v/>
      </c>
      <c r="E40">
        <f>E39*(1-D40)</f>
        <v/>
      </c>
      <c r="F40">
        <f>(E39+E40)/2</f>
        <v/>
      </c>
      <c r="G40">
        <f>IF(A40&lt;$B$6+1,0,IF(A40=$B$6+1,1,G39*(1+IF(B40=Inputs_S34!$C$7,Inputs_S34!$C$8,Inputs_S34!$C$6))))</f>
        <v/>
      </c>
      <c r="H40">
        <f>$B$10*G40*F40</f>
        <v/>
      </c>
      <c r="I40">
        <f>(1+Inputs_S34!$C$26)^-MIN(A40-0.5,$B$6)*(1+Inputs_S34!$C$27)^-MAX(A40-0.5-$B$6,0)</f>
        <v/>
      </c>
      <c r="J40">
        <f>H40*I40</f>
        <v/>
      </c>
    </row>
    <row r="41">
      <c r="A41" t="n">
        <v>23</v>
      </c>
      <c r="B41">
        <f>Inputs_S34!$C$2+A41</f>
        <v/>
      </c>
      <c r="C41">
        <f>$B$5+A41-1</f>
        <v/>
      </c>
      <c r="D41">
        <f>IF(C41&gt;=120,1,MIN(1,IF(A41&lt;=$B$6,IF($B$4="M",Inputs_S34!$C$13,Inputs_S34!$C$14),IF($B$4="M",Inputs_S34!$C$15,Inputs_S34!$C$16))*INDEX(ILT!$B$2:$C$122,MIN(C41,120)+1,IF($B$4="M",1,2))*(1-Inputs_S34!$C$17)^MAX(B41-Inputs_S34!$C$18,0)))</f>
        <v/>
      </c>
      <c r="E41">
        <f>E40*(1-D41)</f>
        <v/>
      </c>
      <c r="F41">
        <f>(E40+E41)/2</f>
        <v/>
      </c>
      <c r="G41">
        <f>IF(A41&lt;$B$6+1,0,IF(A41=$B$6+1,1,G40*(1+IF(B41=Inputs_S34!$C$7,Inputs_S34!$C$8,Inputs_S34!$C$6))))</f>
        <v/>
      </c>
      <c r="H41">
        <f>$B$10*G41*F41</f>
        <v/>
      </c>
      <c r="I41">
        <f>(1+Inputs_S34!$C$26)^-MIN(A41-0.5,$B$6)*(1+Inputs_S34!$C$27)^-MAX(A41-0.5-$B$6,0)</f>
        <v/>
      </c>
      <c r="J41">
        <f>H41*I41</f>
        <v/>
      </c>
    </row>
    <row r="42">
      <c r="A42" t="n">
        <v>24</v>
      </c>
      <c r="B42">
        <f>Inputs_S34!$C$2+A42</f>
        <v/>
      </c>
      <c r="C42">
        <f>$B$5+A42-1</f>
        <v/>
      </c>
      <c r="D42">
        <f>IF(C42&gt;=120,1,MIN(1,IF(A42&lt;=$B$6,IF($B$4="M",Inputs_S34!$C$13,Inputs_S34!$C$14),IF($B$4="M",Inputs_S34!$C$15,Inputs_S34!$C$16))*INDEX(ILT!$B$2:$C$122,MIN(C42,120)+1,IF($B$4="M",1,2))*(1-Inputs_S34!$C$17)^MAX(B42-Inputs_S34!$C$18,0)))</f>
        <v/>
      </c>
      <c r="E42">
        <f>E41*(1-D42)</f>
        <v/>
      </c>
      <c r="F42">
        <f>(E41+E42)/2</f>
        <v/>
      </c>
      <c r="G42">
        <f>IF(A42&lt;$B$6+1,0,IF(A42=$B$6+1,1,G41*(1+IF(B42=Inputs_S34!$C$7,Inputs_S34!$C$8,Inputs_S34!$C$6))))</f>
        <v/>
      </c>
      <c r="H42">
        <f>$B$10*G42*F42</f>
        <v/>
      </c>
      <c r="I42">
        <f>(1+Inputs_S34!$C$26)^-MIN(A42-0.5,$B$6)*(1+Inputs_S34!$C$27)^-MAX(A42-0.5-$B$6,0)</f>
        <v/>
      </c>
      <c r="J42">
        <f>H42*I42</f>
        <v/>
      </c>
    </row>
    <row r="43">
      <c r="A43" t="n">
        <v>25</v>
      </c>
      <c r="B43">
        <f>Inputs_S34!$C$2+A43</f>
        <v/>
      </c>
      <c r="C43">
        <f>$B$5+A43-1</f>
        <v/>
      </c>
      <c r="D43">
        <f>IF(C43&gt;=120,1,MIN(1,IF(A43&lt;=$B$6,IF($B$4="M",Inputs_S34!$C$13,Inputs_S34!$C$14),IF($B$4="M",Inputs_S34!$C$15,Inputs_S34!$C$16))*INDEX(ILT!$B$2:$C$122,MIN(C43,120)+1,IF($B$4="M",1,2))*(1-Inputs_S34!$C$17)^MAX(B43-Inputs_S34!$C$18,0)))</f>
        <v/>
      </c>
      <c r="E43">
        <f>E42*(1-D43)</f>
        <v/>
      </c>
      <c r="F43">
        <f>(E42+E43)/2</f>
        <v/>
      </c>
      <c r="G43">
        <f>IF(A43&lt;$B$6+1,0,IF(A43=$B$6+1,1,G42*(1+IF(B43=Inputs_S34!$C$7,Inputs_S34!$C$8,Inputs_S34!$C$6))))</f>
        <v/>
      </c>
      <c r="H43">
        <f>$B$10*G43*F43</f>
        <v/>
      </c>
      <c r="I43">
        <f>(1+Inputs_S34!$C$26)^-MIN(A43-0.5,$B$6)*(1+Inputs_S34!$C$27)^-MAX(A43-0.5-$B$6,0)</f>
        <v/>
      </c>
      <c r="J43">
        <f>H43*I43</f>
        <v/>
      </c>
    </row>
    <row r="44">
      <c r="A44" t="n">
        <v>26</v>
      </c>
      <c r="B44">
        <f>Inputs_S34!$C$2+A44</f>
        <v/>
      </c>
      <c r="C44">
        <f>$B$5+A44-1</f>
        <v/>
      </c>
      <c r="D44">
        <f>IF(C44&gt;=120,1,MIN(1,IF(A44&lt;=$B$6,IF($B$4="M",Inputs_S34!$C$13,Inputs_S34!$C$14),IF($B$4="M",Inputs_S34!$C$15,Inputs_S34!$C$16))*INDEX(ILT!$B$2:$C$122,MIN(C44,120)+1,IF($B$4="M",1,2))*(1-Inputs_S34!$C$17)^MAX(B44-Inputs_S34!$C$18,0)))</f>
        <v/>
      </c>
      <c r="E44">
        <f>E43*(1-D44)</f>
        <v/>
      </c>
      <c r="F44">
        <f>(E43+E44)/2</f>
        <v/>
      </c>
      <c r="G44">
        <f>IF(A44&lt;$B$6+1,0,IF(A44=$B$6+1,1,G43*(1+IF(B44=Inputs_S34!$C$7,Inputs_S34!$C$8,Inputs_S34!$C$6))))</f>
        <v/>
      </c>
      <c r="H44">
        <f>$B$10*G44*F44</f>
        <v/>
      </c>
      <c r="I44">
        <f>(1+Inputs_S34!$C$26)^-MIN(A44-0.5,$B$6)*(1+Inputs_S34!$C$27)^-MAX(A44-0.5-$B$6,0)</f>
        <v/>
      </c>
      <c r="J44">
        <f>H44*I44</f>
        <v/>
      </c>
    </row>
    <row r="45">
      <c r="A45" t="n">
        <v>27</v>
      </c>
      <c r="B45">
        <f>Inputs_S34!$C$2+A45</f>
        <v/>
      </c>
      <c r="C45">
        <f>$B$5+A45-1</f>
        <v/>
      </c>
      <c r="D45">
        <f>IF(C45&gt;=120,1,MIN(1,IF(A45&lt;=$B$6,IF($B$4="M",Inputs_S34!$C$13,Inputs_S34!$C$14),IF($B$4="M",Inputs_S34!$C$15,Inputs_S34!$C$16))*INDEX(ILT!$B$2:$C$122,MIN(C45,120)+1,IF($B$4="M",1,2))*(1-Inputs_S34!$C$17)^MAX(B45-Inputs_S34!$C$18,0)))</f>
        <v/>
      </c>
      <c r="E45">
        <f>E44*(1-D45)</f>
        <v/>
      </c>
      <c r="F45">
        <f>(E44+E45)/2</f>
        <v/>
      </c>
      <c r="G45">
        <f>IF(A45&lt;$B$6+1,0,IF(A45=$B$6+1,1,G44*(1+IF(B45=Inputs_S34!$C$7,Inputs_S34!$C$8,Inputs_S34!$C$6))))</f>
        <v/>
      </c>
      <c r="H45">
        <f>$B$10*G45*F45</f>
        <v/>
      </c>
      <c r="I45">
        <f>(1+Inputs_S34!$C$26)^-MIN(A45-0.5,$B$6)*(1+Inputs_S34!$C$27)^-MAX(A45-0.5-$B$6,0)</f>
        <v/>
      </c>
      <c r="J45">
        <f>H45*I45</f>
        <v/>
      </c>
    </row>
    <row r="46">
      <c r="A46" t="n">
        <v>28</v>
      </c>
      <c r="B46">
        <f>Inputs_S34!$C$2+A46</f>
        <v/>
      </c>
      <c r="C46">
        <f>$B$5+A46-1</f>
        <v/>
      </c>
      <c r="D46">
        <f>IF(C46&gt;=120,1,MIN(1,IF(A46&lt;=$B$6,IF($B$4="M",Inputs_S34!$C$13,Inputs_S34!$C$14),IF($B$4="M",Inputs_S34!$C$15,Inputs_S34!$C$16))*INDEX(ILT!$B$2:$C$122,MIN(C46,120)+1,IF($B$4="M",1,2))*(1-Inputs_S34!$C$17)^MAX(B46-Inputs_S34!$C$18,0)))</f>
        <v/>
      </c>
      <c r="E46">
        <f>E45*(1-D46)</f>
        <v/>
      </c>
      <c r="F46">
        <f>(E45+E46)/2</f>
        <v/>
      </c>
      <c r="G46">
        <f>IF(A46&lt;$B$6+1,0,IF(A46=$B$6+1,1,G45*(1+IF(B46=Inputs_S34!$C$7,Inputs_S34!$C$8,Inputs_S34!$C$6))))</f>
        <v/>
      </c>
      <c r="H46">
        <f>$B$10*G46*F46</f>
        <v/>
      </c>
      <c r="I46">
        <f>(1+Inputs_S34!$C$26)^-MIN(A46-0.5,$B$6)*(1+Inputs_S34!$C$27)^-MAX(A46-0.5-$B$6,0)</f>
        <v/>
      </c>
      <c r="J46">
        <f>H46*I46</f>
        <v/>
      </c>
    </row>
    <row r="47">
      <c r="A47" t="n">
        <v>29</v>
      </c>
      <c r="B47">
        <f>Inputs_S34!$C$2+A47</f>
        <v/>
      </c>
      <c r="C47">
        <f>$B$5+A47-1</f>
        <v/>
      </c>
      <c r="D47">
        <f>IF(C47&gt;=120,1,MIN(1,IF(A47&lt;=$B$6,IF($B$4="M",Inputs_S34!$C$13,Inputs_S34!$C$14),IF($B$4="M",Inputs_S34!$C$15,Inputs_S34!$C$16))*INDEX(ILT!$B$2:$C$122,MIN(C47,120)+1,IF($B$4="M",1,2))*(1-Inputs_S34!$C$17)^MAX(B47-Inputs_S34!$C$18,0)))</f>
        <v/>
      </c>
      <c r="E47">
        <f>E46*(1-D47)</f>
        <v/>
      </c>
      <c r="F47">
        <f>(E46+E47)/2</f>
        <v/>
      </c>
      <c r="G47">
        <f>IF(A47&lt;$B$6+1,0,IF(A47=$B$6+1,1,G46*(1+IF(B47=Inputs_S34!$C$7,Inputs_S34!$C$8,Inputs_S34!$C$6))))</f>
        <v/>
      </c>
      <c r="H47">
        <f>$B$10*G47*F47</f>
        <v/>
      </c>
      <c r="I47">
        <f>(1+Inputs_S34!$C$26)^-MIN(A47-0.5,$B$6)*(1+Inputs_S34!$C$27)^-MAX(A47-0.5-$B$6,0)</f>
        <v/>
      </c>
      <c r="J47">
        <f>H47*I47</f>
        <v/>
      </c>
    </row>
    <row r="48">
      <c r="A48" t="n">
        <v>30</v>
      </c>
      <c r="B48">
        <f>Inputs_S34!$C$2+A48</f>
        <v/>
      </c>
      <c r="C48">
        <f>$B$5+A48-1</f>
        <v/>
      </c>
      <c r="D48">
        <f>IF(C48&gt;=120,1,MIN(1,IF(A48&lt;=$B$6,IF($B$4="M",Inputs_S34!$C$13,Inputs_S34!$C$14),IF($B$4="M",Inputs_S34!$C$15,Inputs_S34!$C$16))*INDEX(ILT!$B$2:$C$122,MIN(C48,120)+1,IF($B$4="M",1,2))*(1-Inputs_S34!$C$17)^MAX(B48-Inputs_S34!$C$18,0)))</f>
        <v/>
      </c>
      <c r="E48">
        <f>E47*(1-D48)</f>
        <v/>
      </c>
      <c r="F48">
        <f>(E47+E48)/2</f>
        <v/>
      </c>
      <c r="G48">
        <f>IF(A48&lt;$B$6+1,0,IF(A48=$B$6+1,1,G47*(1+IF(B48=Inputs_S34!$C$7,Inputs_S34!$C$8,Inputs_S34!$C$6))))</f>
        <v/>
      </c>
      <c r="H48">
        <f>$B$10*G48*F48</f>
        <v/>
      </c>
      <c r="I48">
        <f>(1+Inputs_S34!$C$26)^-MIN(A48-0.5,$B$6)*(1+Inputs_S34!$C$27)^-MAX(A48-0.5-$B$6,0)</f>
        <v/>
      </c>
      <c r="J48">
        <f>H48*I48</f>
        <v/>
      </c>
    </row>
    <row r="49">
      <c r="A49" t="n">
        <v>31</v>
      </c>
      <c r="B49">
        <f>Inputs_S34!$C$2+A49</f>
        <v/>
      </c>
      <c r="C49">
        <f>$B$5+A49-1</f>
        <v/>
      </c>
      <c r="D49">
        <f>IF(C49&gt;=120,1,MIN(1,IF(A49&lt;=$B$6,IF($B$4="M",Inputs_S34!$C$13,Inputs_S34!$C$14),IF($B$4="M",Inputs_S34!$C$15,Inputs_S34!$C$16))*INDEX(ILT!$B$2:$C$122,MIN(C49,120)+1,IF($B$4="M",1,2))*(1-Inputs_S34!$C$17)^MAX(B49-Inputs_S34!$C$18,0)))</f>
        <v/>
      </c>
      <c r="E49">
        <f>E48*(1-D49)</f>
        <v/>
      </c>
      <c r="F49">
        <f>(E48+E49)/2</f>
        <v/>
      </c>
      <c r="G49">
        <f>IF(A49&lt;$B$6+1,0,IF(A49=$B$6+1,1,G48*(1+IF(B49=Inputs_S34!$C$7,Inputs_S34!$C$8,Inputs_S34!$C$6))))</f>
        <v/>
      </c>
      <c r="H49">
        <f>$B$10*G49*F49</f>
        <v/>
      </c>
      <c r="I49">
        <f>(1+Inputs_S34!$C$26)^-MIN(A49-0.5,$B$6)*(1+Inputs_S34!$C$27)^-MAX(A49-0.5-$B$6,0)</f>
        <v/>
      </c>
      <c r="J49">
        <f>H49*I49</f>
        <v/>
      </c>
    </row>
    <row r="50">
      <c r="A50" t="n">
        <v>32</v>
      </c>
      <c r="B50">
        <f>Inputs_S34!$C$2+A50</f>
        <v/>
      </c>
      <c r="C50">
        <f>$B$5+A50-1</f>
        <v/>
      </c>
      <c r="D50">
        <f>IF(C50&gt;=120,1,MIN(1,IF(A50&lt;=$B$6,IF($B$4="M",Inputs_S34!$C$13,Inputs_S34!$C$14),IF($B$4="M",Inputs_S34!$C$15,Inputs_S34!$C$16))*INDEX(ILT!$B$2:$C$122,MIN(C50,120)+1,IF($B$4="M",1,2))*(1-Inputs_S34!$C$17)^MAX(B50-Inputs_S34!$C$18,0)))</f>
        <v/>
      </c>
      <c r="E50">
        <f>E49*(1-D50)</f>
        <v/>
      </c>
      <c r="F50">
        <f>(E49+E50)/2</f>
        <v/>
      </c>
      <c r="G50">
        <f>IF(A50&lt;$B$6+1,0,IF(A50=$B$6+1,1,G49*(1+IF(B50=Inputs_S34!$C$7,Inputs_S34!$C$8,Inputs_S34!$C$6))))</f>
        <v/>
      </c>
      <c r="H50">
        <f>$B$10*G50*F50</f>
        <v/>
      </c>
      <c r="I50">
        <f>(1+Inputs_S34!$C$26)^-MIN(A50-0.5,$B$6)*(1+Inputs_S34!$C$27)^-MAX(A50-0.5-$B$6,0)</f>
        <v/>
      </c>
      <c r="J50">
        <f>H50*I50</f>
        <v/>
      </c>
    </row>
    <row r="51">
      <c r="A51" t="n">
        <v>33</v>
      </c>
      <c r="B51">
        <f>Inputs_S34!$C$2+A51</f>
        <v/>
      </c>
      <c r="C51">
        <f>$B$5+A51-1</f>
        <v/>
      </c>
      <c r="D51">
        <f>IF(C51&gt;=120,1,MIN(1,IF(A51&lt;=$B$6,IF($B$4="M",Inputs_S34!$C$13,Inputs_S34!$C$14),IF($B$4="M",Inputs_S34!$C$15,Inputs_S34!$C$16))*INDEX(ILT!$B$2:$C$122,MIN(C51,120)+1,IF($B$4="M",1,2))*(1-Inputs_S34!$C$17)^MAX(B51-Inputs_S34!$C$18,0)))</f>
        <v/>
      </c>
      <c r="E51">
        <f>E50*(1-D51)</f>
        <v/>
      </c>
      <c r="F51">
        <f>(E50+E51)/2</f>
        <v/>
      </c>
      <c r="G51">
        <f>IF(A51&lt;$B$6+1,0,IF(A51=$B$6+1,1,G50*(1+IF(B51=Inputs_S34!$C$7,Inputs_S34!$C$8,Inputs_S34!$C$6))))</f>
        <v/>
      </c>
      <c r="H51">
        <f>$B$10*G51*F51</f>
        <v/>
      </c>
      <c r="I51">
        <f>(1+Inputs_S34!$C$26)^-MIN(A51-0.5,$B$6)*(1+Inputs_S34!$C$27)^-MAX(A51-0.5-$B$6,0)</f>
        <v/>
      </c>
      <c r="J51">
        <f>H51*I51</f>
        <v/>
      </c>
    </row>
    <row r="52">
      <c r="A52" t="n">
        <v>34</v>
      </c>
      <c r="B52">
        <f>Inputs_S34!$C$2+A52</f>
        <v/>
      </c>
      <c r="C52">
        <f>$B$5+A52-1</f>
        <v/>
      </c>
      <c r="D52">
        <f>IF(C52&gt;=120,1,MIN(1,IF(A52&lt;=$B$6,IF($B$4="M",Inputs_S34!$C$13,Inputs_S34!$C$14),IF($B$4="M",Inputs_S34!$C$15,Inputs_S34!$C$16))*INDEX(ILT!$B$2:$C$122,MIN(C52,120)+1,IF($B$4="M",1,2))*(1-Inputs_S34!$C$17)^MAX(B52-Inputs_S34!$C$18,0)))</f>
        <v/>
      </c>
      <c r="E52">
        <f>E51*(1-D52)</f>
        <v/>
      </c>
      <c r="F52">
        <f>(E51+E52)/2</f>
        <v/>
      </c>
      <c r="G52">
        <f>IF(A52&lt;$B$6+1,0,IF(A52=$B$6+1,1,G51*(1+IF(B52=Inputs_S34!$C$7,Inputs_S34!$C$8,Inputs_S34!$C$6))))</f>
        <v/>
      </c>
      <c r="H52">
        <f>$B$10*G52*F52</f>
        <v/>
      </c>
      <c r="I52">
        <f>(1+Inputs_S34!$C$26)^-MIN(A52-0.5,$B$6)*(1+Inputs_S34!$C$27)^-MAX(A52-0.5-$B$6,0)</f>
        <v/>
      </c>
      <c r="J52">
        <f>H52*I52</f>
        <v/>
      </c>
    </row>
    <row r="53">
      <c r="A53" t="n">
        <v>35</v>
      </c>
      <c r="B53">
        <f>Inputs_S34!$C$2+A53</f>
        <v/>
      </c>
      <c r="C53">
        <f>$B$5+A53-1</f>
        <v/>
      </c>
      <c r="D53">
        <f>IF(C53&gt;=120,1,MIN(1,IF(A53&lt;=$B$6,IF($B$4="M",Inputs_S34!$C$13,Inputs_S34!$C$14),IF($B$4="M",Inputs_S34!$C$15,Inputs_S34!$C$16))*INDEX(ILT!$B$2:$C$122,MIN(C53,120)+1,IF($B$4="M",1,2))*(1-Inputs_S34!$C$17)^MAX(B53-Inputs_S34!$C$18,0)))</f>
        <v/>
      </c>
      <c r="E53">
        <f>E52*(1-D53)</f>
        <v/>
      </c>
      <c r="F53">
        <f>(E52+E53)/2</f>
        <v/>
      </c>
      <c r="G53">
        <f>IF(A53&lt;$B$6+1,0,IF(A53=$B$6+1,1,G52*(1+IF(B53=Inputs_S34!$C$7,Inputs_S34!$C$8,Inputs_S34!$C$6))))</f>
        <v/>
      </c>
      <c r="H53">
        <f>$B$10*G53*F53</f>
        <v/>
      </c>
      <c r="I53">
        <f>(1+Inputs_S34!$C$26)^-MIN(A53-0.5,$B$6)*(1+Inputs_S34!$C$27)^-MAX(A53-0.5-$B$6,0)</f>
        <v/>
      </c>
      <c r="J53">
        <f>H53*I53</f>
        <v/>
      </c>
    </row>
    <row r="54">
      <c r="A54" t="n">
        <v>36</v>
      </c>
      <c r="B54">
        <f>Inputs_S34!$C$2+A54</f>
        <v/>
      </c>
      <c r="C54">
        <f>$B$5+A54-1</f>
        <v/>
      </c>
      <c r="D54">
        <f>IF(C54&gt;=120,1,MIN(1,IF(A54&lt;=$B$6,IF($B$4="M",Inputs_S34!$C$13,Inputs_S34!$C$14),IF($B$4="M",Inputs_S34!$C$15,Inputs_S34!$C$16))*INDEX(ILT!$B$2:$C$122,MIN(C54,120)+1,IF($B$4="M",1,2))*(1-Inputs_S34!$C$17)^MAX(B54-Inputs_S34!$C$18,0)))</f>
        <v/>
      </c>
      <c r="E54">
        <f>E53*(1-D54)</f>
        <v/>
      </c>
      <c r="F54">
        <f>(E53+E54)/2</f>
        <v/>
      </c>
      <c r="G54">
        <f>IF(A54&lt;$B$6+1,0,IF(A54=$B$6+1,1,G53*(1+IF(B54=Inputs_S34!$C$7,Inputs_S34!$C$8,Inputs_S34!$C$6))))</f>
        <v/>
      </c>
      <c r="H54">
        <f>$B$10*G54*F54</f>
        <v/>
      </c>
      <c r="I54">
        <f>(1+Inputs_S34!$C$26)^-MIN(A54-0.5,$B$6)*(1+Inputs_S34!$C$27)^-MAX(A54-0.5-$B$6,0)</f>
        <v/>
      </c>
      <c r="J54">
        <f>H54*I54</f>
        <v/>
      </c>
    </row>
    <row r="55">
      <c r="A55" t="n">
        <v>37</v>
      </c>
      <c r="B55">
        <f>Inputs_S34!$C$2+A55</f>
        <v/>
      </c>
      <c r="C55">
        <f>$B$5+A55-1</f>
        <v/>
      </c>
      <c r="D55">
        <f>IF(C55&gt;=120,1,MIN(1,IF(A55&lt;=$B$6,IF($B$4="M",Inputs_S34!$C$13,Inputs_S34!$C$14),IF($B$4="M",Inputs_S34!$C$15,Inputs_S34!$C$16))*INDEX(ILT!$B$2:$C$122,MIN(C55,120)+1,IF($B$4="M",1,2))*(1-Inputs_S34!$C$17)^MAX(B55-Inputs_S34!$C$18,0)))</f>
        <v/>
      </c>
      <c r="E55">
        <f>E54*(1-D55)</f>
        <v/>
      </c>
      <c r="F55">
        <f>(E54+E55)/2</f>
        <v/>
      </c>
      <c r="G55">
        <f>IF(A55&lt;$B$6+1,0,IF(A55=$B$6+1,1,G54*(1+IF(B55=Inputs_S34!$C$7,Inputs_S34!$C$8,Inputs_S34!$C$6))))</f>
        <v/>
      </c>
      <c r="H55">
        <f>$B$10*G55*F55</f>
        <v/>
      </c>
      <c r="I55">
        <f>(1+Inputs_S34!$C$26)^-MIN(A55-0.5,$B$6)*(1+Inputs_S34!$C$27)^-MAX(A55-0.5-$B$6,0)</f>
        <v/>
      </c>
      <c r="J55">
        <f>H55*I55</f>
        <v/>
      </c>
    </row>
    <row r="56">
      <c r="A56" t="n">
        <v>38</v>
      </c>
      <c r="B56">
        <f>Inputs_S34!$C$2+A56</f>
        <v/>
      </c>
      <c r="C56">
        <f>$B$5+A56-1</f>
        <v/>
      </c>
      <c r="D56">
        <f>IF(C56&gt;=120,1,MIN(1,IF(A56&lt;=$B$6,IF($B$4="M",Inputs_S34!$C$13,Inputs_S34!$C$14),IF($B$4="M",Inputs_S34!$C$15,Inputs_S34!$C$16))*INDEX(ILT!$B$2:$C$122,MIN(C56,120)+1,IF($B$4="M",1,2))*(1-Inputs_S34!$C$17)^MAX(B56-Inputs_S34!$C$18,0)))</f>
        <v/>
      </c>
      <c r="E56">
        <f>E55*(1-D56)</f>
        <v/>
      </c>
      <c r="F56">
        <f>(E55+E56)/2</f>
        <v/>
      </c>
      <c r="G56">
        <f>IF(A56&lt;$B$6+1,0,IF(A56=$B$6+1,1,G55*(1+IF(B56=Inputs_S34!$C$7,Inputs_S34!$C$8,Inputs_S34!$C$6))))</f>
        <v/>
      </c>
      <c r="H56">
        <f>$B$10*G56*F56</f>
        <v/>
      </c>
      <c r="I56">
        <f>(1+Inputs_S34!$C$26)^-MIN(A56-0.5,$B$6)*(1+Inputs_S34!$C$27)^-MAX(A56-0.5-$B$6,0)</f>
        <v/>
      </c>
      <c r="J56">
        <f>H56*I56</f>
        <v/>
      </c>
    </row>
    <row r="57">
      <c r="A57" t="n">
        <v>39</v>
      </c>
      <c r="B57">
        <f>Inputs_S34!$C$2+A57</f>
        <v/>
      </c>
      <c r="C57">
        <f>$B$5+A57-1</f>
        <v/>
      </c>
      <c r="D57">
        <f>IF(C57&gt;=120,1,MIN(1,IF(A57&lt;=$B$6,IF($B$4="M",Inputs_S34!$C$13,Inputs_S34!$C$14),IF($B$4="M",Inputs_S34!$C$15,Inputs_S34!$C$16))*INDEX(ILT!$B$2:$C$122,MIN(C57,120)+1,IF($B$4="M",1,2))*(1-Inputs_S34!$C$17)^MAX(B57-Inputs_S34!$C$18,0)))</f>
        <v/>
      </c>
      <c r="E57">
        <f>E56*(1-D57)</f>
        <v/>
      </c>
      <c r="F57">
        <f>(E56+E57)/2</f>
        <v/>
      </c>
      <c r="G57">
        <f>IF(A57&lt;$B$6+1,0,IF(A57=$B$6+1,1,G56*(1+IF(B57=Inputs_S34!$C$7,Inputs_S34!$C$8,Inputs_S34!$C$6))))</f>
        <v/>
      </c>
      <c r="H57">
        <f>$B$10*G57*F57</f>
        <v/>
      </c>
      <c r="I57">
        <f>(1+Inputs_S34!$C$26)^-MIN(A57-0.5,$B$6)*(1+Inputs_S34!$C$27)^-MAX(A57-0.5-$B$6,0)</f>
        <v/>
      </c>
      <c r="J57">
        <f>H57*I57</f>
        <v/>
      </c>
    </row>
    <row r="58">
      <c r="A58" t="n">
        <v>40</v>
      </c>
      <c r="B58">
        <f>Inputs_S34!$C$2+A58</f>
        <v/>
      </c>
      <c r="C58">
        <f>$B$5+A58-1</f>
        <v/>
      </c>
      <c r="D58">
        <f>IF(C58&gt;=120,1,MIN(1,IF(A58&lt;=$B$6,IF($B$4="M",Inputs_S34!$C$13,Inputs_S34!$C$14),IF($B$4="M",Inputs_S34!$C$15,Inputs_S34!$C$16))*INDEX(ILT!$B$2:$C$122,MIN(C58,120)+1,IF($B$4="M",1,2))*(1-Inputs_S34!$C$17)^MAX(B58-Inputs_S34!$C$18,0)))</f>
        <v/>
      </c>
      <c r="E58">
        <f>E57*(1-D58)</f>
        <v/>
      </c>
      <c r="F58">
        <f>(E57+E58)/2</f>
        <v/>
      </c>
      <c r="G58">
        <f>IF(A58&lt;$B$6+1,0,IF(A58=$B$6+1,1,G57*(1+IF(B58=Inputs_S34!$C$7,Inputs_S34!$C$8,Inputs_S34!$C$6))))</f>
        <v/>
      </c>
      <c r="H58">
        <f>$B$10*G58*F58</f>
        <v/>
      </c>
      <c r="I58">
        <f>(1+Inputs_S34!$C$26)^-MIN(A58-0.5,$B$6)*(1+Inputs_S34!$C$27)^-MAX(A58-0.5-$B$6,0)</f>
        <v/>
      </c>
      <c r="J58">
        <f>H58*I58</f>
        <v/>
      </c>
    </row>
    <row r="59">
      <c r="A59" t="n">
        <v>41</v>
      </c>
      <c r="B59">
        <f>Inputs_S34!$C$2+A59</f>
        <v/>
      </c>
      <c r="C59">
        <f>$B$5+A59-1</f>
        <v/>
      </c>
      <c r="D59">
        <f>IF(C59&gt;=120,1,MIN(1,IF(A59&lt;=$B$6,IF($B$4="M",Inputs_S34!$C$13,Inputs_S34!$C$14),IF($B$4="M",Inputs_S34!$C$15,Inputs_S34!$C$16))*INDEX(ILT!$B$2:$C$122,MIN(C59,120)+1,IF($B$4="M",1,2))*(1-Inputs_S34!$C$17)^MAX(B59-Inputs_S34!$C$18,0)))</f>
        <v/>
      </c>
      <c r="E59">
        <f>E58*(1-D59)</f>
        <v/>
      </c>
      <c r="F59">
        <f>(E58+E59)/2</f>
        <v/>
      </c>
      <c r="G59">
        <f>IF(A59&lt;$B$6+1,0,IF(A59=$B$6+1,1,G58*(1+IF(B59=Inputs_S34!$C$7,Inputs_S34!$C$8,Inputs_S34!$C$6))))</f>
        <v/>
      </c>
      <c r="H59">
        <f>$B$10*G59*F59</f>
        <v/>
      </c>
      <c r="I59">
        <f>(1+Inputs_S34!$C$26)^-MIN(A59-0.5,$B$6)*(1+Inputs_S34!$C$27)^-MAX(A59-0.5-$B$6,0)</f>
        <v/>
      </c>
      <c r="J59">
        <f>H59*I59</f>
        <v/>
      </c>
    </row>
    <row r="60">
      <c r="A60" t="n">
        <v>42</v>
      </c>
      <c r="B60">
        <f>Inputs_S34!$C$2+A60</f>
        <v/>
      </c>
      <c r="C60">
        <f>$B$5+A60-1</f>
        <v/>
      </c>
      <c r="D60">
        <f>IF(C60&gt;=120,1,MIN(1,IF(A60&lt;=$B$6,IF($B$4="M",Inputs_S34!$C$13,Inputs_S34!$C$14),IF($B$4="M",Inputs_S34!$C$15,Inputs_S34!$C$16))*INDEX(ILT!$B$2:$C$122,MIN(C60,120)+1,IF($B$4="M",1,2))*(1-Inputs_S34!$C$17)^MAX(B60-Inputs_S34!$C$18,0)))</f>
        <v/>
      </c>
      <c r="E60">
        <f>E59*(1-D60)</f>
        <v/>
      </c>
      <c r="F60">
        <f>(E59+E60)/2</f>
        <v/>
      </c>
      <c r="G60">
        <f>IF(A60&lt;$B$6+1,0,IF(A60=$B$6+1,1,G59*(1+IF(B60=Inputs_S34!$C$7,Inputs_S34!$C$8,Inputs_S34!$C$6))))</f>
        <v/>
      </c>
      <c r="H60">
        <f>$B$10*G60*F60</f>
        <v/>
      </c>
      <c r="I60">
        <f>(1+Inputs_S34!$C$26)^-MIN(A60-0.5,$B$6)*(1+Inputs_S34!$C$27)^-MAX(A60-0.5-$B$6,0)</f>
        <v/>
      </c>
      <c r="J60">
        <f>H60*I60</f>
        <v/>
      </c>
    </row>
    <row r="61">
      <c r="A61" t="n">
        <v>43</v>
      </c>
      <c r="B61">
        <f>Inputs_S34!$C$2+A61</f>
        <v/>
      </c>
      <c r="C61">
        <f>$B$5+A61-1</f>
        <v/>
      </c>
      <c r="D61">
        <f>IF(C61&gt;=120,1,MIN(1,IF(A61&lt;=$B$6,IF($B$4="M",Inputs_S34!$C$13,Inputs_S34!$C$14),IF($B$4="M",Inputs_S34!$C$15,Inputs_S34!$C$16))*INDEX(ILT!$B$2:$C$122,MIN(C61,120)+1,IF($B$4="M",1,2))*(1-Inputs_S34!$C$17)^MAX(B61-Inputs_S34!$C$18,0)))</f>
        <v/>
      </c>
      <c r="E61">
        <f>E60*(1-D61)</f>
        <v/>
      </c>
      <c r="F61">
        <f>(E60+E61)/2</f>
        <v/>
      </c>
      <c r="G61">
        <f>IF(A61&lt;$B$6+1,0,IF(A61=$B$6+1,1,G60*(1+IF(B61=Inputs_S34!$C$7,Inputs_S34!$C$8,Inputs_S34!$C$6))))</f>
        <v/>
      </c>
      <c r="H61">
        <f>$B$10*G61*F61</f>
        <v/>
      </c>
      <c r="I61">
        <f>(1+Inputs_S34!$C$26)^-MIN(A61-0.5,$B$6)*(1+Inputs_S34!$C$27)^-MAX(A61-0.5-$B$6,0)</f>
        <v/>
      </c>
      <c r="J61">
        <f>H61*I61</f>
        <v/>
      </c>
    </row>
    <row r="62">
      <c r="A62" t="n">
        <v>44</v>
      </c>
      <c r="B62">
        <f>Inputs_S34!$C$2+A62</f>
        <v/>
      </c>
      <c r="C62">
        <f>$B$5+A62-1</f>
        <v/>
      </c>
      <c r="D62">
        <f>IF(C62&gt;=120,1,MIN(1,IF(A62&lt;=$B$6,IF($B$4="M",Inputs_S34!$C$13,Inputs_S34!$C$14),IF($B$4="M",Inputs_S34!$C$15,Inputs_S34!$C$16))*INDEX(ILT!$B$2:$C$122,MIN(C62,120)+1,IF($B$4="M",1,2))*(1-Inputs_S34!$C$17)^MAX(B62-Inputs_S34!$C$18,0)))</f>
        <v/>
      </c>
      <c r="E62">
        <f>E61*(1-D62)</f>
        <v/>
      </c>
      <c r="F62">
        <f>(E61+E62)/2</f>
        <v/>
      </c>
      <c r="G62">
        <f>IF(A62&lt;$B$6+1,0,IF(A62=$B$6+1,1,G61*(1+IF(B62=Inputs_S34!$C$7,Inputs_S34!$C$8,Inputs_S34!$C$6))))</f>
        <v/>
      </c>
      <c r="H62">
        <f>$B$10*G62*F62</f>
        <v/>
      </c>
      <c r="I62">
        <f>(1+Inputs_S34!$C$26)^-MIN(A62-0.5,$B$6)*(1+Inputs_S34!$C$27)^-MAX(A62-0.5-$B$6,0)</f>
        <v/>
      </c>
      <c r="J62">
        <f>H62*I62</f>
        <v/>
      </c>
    </row>
    <row r="63">
      <c r="A63" t="n">
        <v>45</v>
      </c>
      <c r="B63">
        <f>Inputs_S34!$C$2+A63</f>
        <v/>
      </c>
      <c r="C63">
        <f>$B$5+A63-1</f>
        <v/>
      </c>
      <c r="D63">
        <f>IF(C63&gt;=120,1,MIN(1,IF(A63&lt;=$B$6,IF($B$4="M",Inputs_S34!$C$13,Inputs_S34!$C$14),IF($B$4="M",Inputs_S34!$C$15,Inputs_S34!$C$16))*INDEX(ILT!$B$2:$C$122,MIN(C63,120)+1,IF($B$4="M",1,2))*(1-Inputs_S34!$C$17)^MAX(B63-Inputs_S34!$C$18,0)))</f>
        <v/>
      </c>
      <c r="E63">
        <f>E62*(1-D63)</f>
        <v/>
      </c>
      <c r="F63">
        <f>(E62+E63)/2</f>
        <v/>
      </c>
      <c r="G63">
        <f>IF(A63&lt;$B$6+1,0,IF(A63=$B$6+1,1,G62*(1+IF(B63=Inputs_S34!$C$7,Inputs_S34!$C$8,Inputs_S34!$C$6))))</f>
        <v/>
      </c>
      <c r="H63">
        <f>$B$10*G63*F63</f>
        <v/>
      </c>
      <c r="I63">
        <f>(1+Inputs_S34!$C$26)^-MIN(A63-0.5,$B$6)*(1+Inputs_S34!$C$27)^-MAX(A63-0.5-$B$6,0)</f>
        <v/>
      </c>
      <c r="J63">
        <f>H63*I63</f>
        <v/>
      </c>
    </row>
    <row r="64">
      <c r="A64" t="n">
        <v>46</v>
      </c>
      <c r="B64">
        <f>Inputs_S34!$C$2+A64</f>
        <v/>
      </c>
      <c r="C64">
        <f>$B$5+A64-1</f>
        <v/>
      </c>
      <c r="D64">
        <f>IF(C64&gt;=120,1,MIN(1,IF(A64&lt;=$B$6,IF($B$4="M",Inputs_S34!$C$13,Inputs_S34!$C$14),IF($B$4="M",Inputs_S34!$C$15,Inputs_S34!$C$16))*INDEX(ILT!$B$2:$C$122,MIN(C64,120)+1,IF($B$4="M",1,2))*(1-Inputs_S34!$C$17)^MAX(B64-Inputs_S34!$C$18,0)))</f>
        <v/>
      </c>
      <c r="E64">
        <f>E63*(1-D64)</f>
        <v/>
      </c>
      <c r="F64">
        <f>(E63+E64)/2</f>
        <v/>
      </c>
      <c r="G64">
        <f>IF(A64&lt;$B$6+1,0,IF(A64=$B$6+1,1,G63*(1+IF(B64=Inputs_S34!$C$7,Inputs_S34!$C$8,Inputs_S34!$C$6))))</f>
        <v/>
      </c>
      <c r="H64">
        <f>$B$10*G64*F64</f>
        <v/>
      </c>
      <c r="I64">
        <f>(1+Inputs_S34!$C$26)^-MIN(A64-0.5,$B$6)*(1+Inputs_S34!$C$27)^-MAX(A64-0.5-$B$6,0)</f>
        <v/>
      </c>
      <c r="J64">
        <f>H64*I64</f>
        <v/>
      </c>
    </row>
    <row r="65">
      <c r="A65" t="n">
        <v>47</v>
      </c>
      <c r="B65">
        <f>Inputs_S34!$C$2+A65</f>
        <v/>
      </c>
      <c r="C65">
        <f>$B$5+A65-1</f>
        <v/>
      </c>
      <c r="D65">
        <f>IF(C65&gt;=120,1,MIN(1,IF(A65&lt;=$B$6,IF($B$4="M",Inputs_S34!$C$13,Inputs_S34!$C$14),IF($B$4="M",Inputs_S34!$C$15,Inputs_S34!$C$16))*INDEX(ILT!$B$2:$C$122,MIN(C65,120)+1,IF($B$4="M",1,2))*(1-Inputs_S34!$C$17)^MAX(B65-Inputs_S34!$C$18,0)))</f>
        <v/>
      </c>
      <c r="E65">
        <f>E64*(1-D65)</f>
        <v/>
      </c>
      <c r="F65">
        <f>(E64+E65)/2</f>
        <v/>
      </c>
      <c r="G65">
        <f>IF(A65&lt;$B$6+1,0,IF(A65=$B$6+1,1,G64*(1+IF(B65=Inputs_S34!$C$7,Inputs_S34!$C$8,Inputs_S34!$C$6))))</f>
        <v/>
      </c>
      <c r="H65">
        <f>$B$10*G65*F65</f>
        <v/>
      </c>
      <c r="I65">
        <f>(1+Inputs_S34!$C$26)^-MIN(A65-0.5,$B$6)*(1+Inputs_S34!$C$27)^-MAX(A65-0.5-$B$6,0)</f>
        <v/>
      </c>
      <c r="J65">
        <f>H65*I65</f>
        <v/>
      </c>
    </row>
    <row r="66">
      <c r="A66" t="n">
        <v>48</v>
      </c>
      <c r="B66">
        <f>Inputs_S34!$C$2+A66</f>
        <v/>
      </c>
      <c r="C66">
        <f>$B$5+A66-1</f>
        <v/>
      </c>
      <c r="D66">
        <f>IF(C66&gt;=120,1,MIN(1,IF(A66&lt;=$B$6,IF($B$4="M",Inputs_S34!$C$13,Inputs_S34!$C$14),IF($B$4="M",Inputs_S34!$C$15,Inputs_S34!$C$16))*INDEX(ILT!$B$2:$C$122,MIN(C66,120)+1,IF($B$4="M",1,2))*(1-Inputs_S34!$C$17)^MAX(B66-Inputs_S34!$C$18,0)))</f>
        <v/>
      </c>
      <c r="E66">
        <f>E65*(1-D66)</f>
        <v/>
      </c>
      <c r="F66">
        <f>(E65+E66)/2</f>
        <v/>
      </c>
      <c r="G66">
        <f>IF(A66&lt;$B$6+1,0,IF(A66=$B$6+1,1,G65*(1+IF(B66=Inputs_S34!$C$7,Inputs_S34!$C$8,Inputs_S34!$C$6))))</f>
        <v/>
      </c>
      <c r="H66">
        <f>$B$10*G66*F66</f>
        <v/>
      </c>
      <c r="I66">
        <f>(1+Inputs_S34!$C$26)^-MIN(A66-0.5,$B$6)*(1+Inputs_S34!$C$27)^-MAX(A66-0.5-$B$6,0)</f>
        <v/>
      </c>
      <c r="J66">
        <f>H66*I66</f>
        <v/>
      </c>
    </row>
    <row r="67">
      <c r="A67" t="n">
        <v>49</v>
      </c>
      <c r="B67">
        <f>Inputs_S34!$C$2+A67</f>
        <v/>
      </c>
      <c r="C67">
        <f>$B$5+A67-1</f>
        <v/>
      </c>
      <c r="D67">
        <f>IF(C67&gt;=120,1,MIN(1,IF(A67&lt;=$B$6,IF($B$4="M",Inputs_S34!$C$13,Inputs_S34!$C$14),IF($B$4="M",Inputs_S34!$C$15,Inputs_S34!$C$16))*INDEX(ILT!$B$2:$C$122,MIN(C67,120)+1,IF($B$4="M",1,2))*(1-Inputs_S34!$C$17)^MAX(B67-Inputs_S34!$C$18,0)))</f>
        <v/>
      </c>
      <c r="E67">
        <f>E66*(1-D67)</f>
        <v/>
      </c>
      <c r="F67">
        <f>(E66+E67)/2</f>
        <v/>
      </c>
      <c r="G67">
        <f>IF(A67&lt;$B$6+1,0,IF(A67=$B$6+1,1,G66*(1+IF(B67=Inputs_S34!$C$7,Inputs_S34!$C$8,Inputs_S34!$C$6))))</f>
        <v/>
      </c>
      <c r="H67">
        <f>$B$10*G67*F67</f>
        <v/>
      </c>
      <c r="I67">
        <f>(1+Inputs_S34!$C$26)^-MIN(A67-0.5,$B$6)*(1+Inputs_S34!$C$27)^-MAX(A67-0.5-$B$6,0)</f>
        <v/>
      </c>
      <c r="J67">
        <f>H67*I67</f>
        <v/>
      </c>
    </row>
    <row r="68">
      <c r="A68" t="n">
        <v>50</v>
      </c>
      <c r="B68">
        <f>Inputs_S34!$C$2+A68</f>
        <v/>
      </c>
      <c r="C68">
        <f>$B$5+A68-1</f>
        <v/>
      </c>
      <c r="D68">
        <f>IF(C68&gt;=120,1,MIN(1,IF(A68&lt;=$B$6,IF($B$4="M",Inputs_S34!$C$13,Inputs_S34!$C$14),IF($B$4="M",Inputs_S34!$C$15,Inputs_S34!$C$16))*INDEX(ILT!$B$2:$C$122,MIN(C68,120)+1,IF($B$4="M",1,2))*(1-Inputs_S34!$C$17)^MAX(B68-Inputs_S34!$C$18,0)))</f>
        <v/>
      </c>
      <c r="E68">
        <f>E67*(1-D68)</f>
        <v/>
      </c>
      <c r="F68">
        <f>(E67+E68)/2</f>
        <v/>
      </c>
      <c r="G68">
        <f>IF(A68&lt;$B$6+1,0,IF(A68=$B$6+1,1,G67*(1+IF(B68=Inputs_S34!$C$7,Inputs_S34!$C$8,Inputs_S34!$C$6))))</f>
        <v/>
      </c>
      <c r="H68">
        <f>$B$10*G68*F68</f>
        <v/>
      </c>
      <c r="I68">
        <f>(1+Inputs_S34!$C$26)^-MIN(A68-0.5,$B$6)*(1+Inputs_S34!$C$27)^-MAX(A68-0.5-$B$6,0)</f>
        <v/>
      </c>
      <c r="J68">
        <f>H68*I68</f>
        <v/>
      </c>
    </row>
    <row r="69">
      <c r="A69" t="n">
        <v>51</v>
      </c>
      <c r="B69">
        <f>Inputs_S34!$C$2+A69</f>
        <v/>
      </c>
      <c r="C69">
        <f>$B$5+A69-1</f>
        <v/>
      </c>
      <c r="D69">
        <f>IF(C69&gt;=120,1,MIN(1,IF(A69&lt;=$B$6,IF($B$4="M",Inputs_S34!$C$13,Inputs_S34!$C$14),IF($B$4="M",Inputs_S34!$C$15,Inputs_S34!$C$16))*INDEX(ILT!$B$2:$C$122,MIN(C69,120)+1,IF($B$4="M",1,2))*(1-Inputs_S34!$C$17)^MAX(B69-Inputs_S34!$C$18,0)))</f>
        <v/>
      </c>
      <c r="E69">
        <f>E68*(1-D69)</f>
        <v/>
      </c>
      <c r="F69">
        <f>(E68+E69)/2</f>
        <v/>
      </c>
      <c r="G69">
        <f>IF(A69&lt;$B$6+1,0,IF(A69=$B$6+1,1,G68*(1+IF(B69=Inputs_S34!$C$7,Inputs_S34!$C$8,Inputs_S34!$C$6))))</f>
        <v/>
      </c>
      <c r="H69">
        <f>$B$10*G69*F69</f>
        <v/>
      </c>
      <c r="I69">
        <f>(1+Inputs_S34!$C$26)^-MIN(A69-0.5,$B$6)*(1+Inputs_S34!$C$27)^-MAX(A69-0.5-$B$6,0)</f>
        <v/>
      </c>
      <c r="J69">
        <f>H69*I69</f>
        <v/>
      </c>
    </row>
    <row r="70">
      <c r="A70" t="n">
        <v>52</v>
      </c>
      <c r="B70">
        <f>Inputs_S34!$C$2+A70</f>
        <v/>
      </c>
      <c r="C70">
        <f>$B$5+A70-1</f>
        <v/>
      </c>
      <c r="D70">
        <f>IF(C70&gt;=120,1,MIN(1,IF(A70&lt;=$B$6,IF($B$4="M",Inputs_S34!$C$13,Inputs_S34!$C$14),IF($B$4="M",Inputs_S34!$C$15,Inputs_S34!$C$16))*INDEX(ILT!$B$2:$C$122,MIN(C70,120)+1,IF($B$4="M",1,2))*(1-Inputs_S34!$C$17)^MAX(B70-Inputs_S34!$C$18,0)))</f>
        <v/>
      </c>
      <c r="E70">
        <f>E69*(1-D70)</f>
        <v/>
      </c>
      <c r="F70">
        <f>(E69+E70)/2</f>
        <v/>
      </c>
      <c r="G70">
        <f>IF(A70&lt;$B$6+1,0,IF(A70=$B$6+1,1,G69*(1+IF(B70=Inputs_S34!$C$7,Inputs_S34!$C$8,Inputs_S34!$C$6))))</f>
        <v/>
      </c>
      <c r="H70">
        <f>$B$10*G70*F70</f>
        <v/>
      </c>
      <c r="I70">
        <f>(1+Inputs_S34!$C$26)^-MIN(A70-0.5,$B$6)*(1+Inputs_S34!$C$27)^-MAX(A70-0.5-$B$6,0)</f>
        <v/>
      </c>
      <c r="J70">
        <f>H70*I70</f>
        <v/>
      </c>
    </row>
    <row r="71">
      <c r="A71" t="n">
        <v>53</v>
      </c>
      <c r="B71">
        <f>Inputs_S34!$C$2+A71</f>
        <v/>
      </c>
      <c r="C71">
        <f>$B$5+A71-1</f>
        <v/>
      </c>
      <c r="D71">
        <f>IF(C71&gt;=120,1,MIN(1,IF(A71&lt;=$B$6,IF($B$4="M",Inputs_S34!$C$13,Inputs_S34!$C$14),IF($B$4="M",Inputs_S34!$C$15,Inputs_S34!$C$16))*INDEX(ILT!$B$2:$C$122,MIN(C71,120)+1,IF($B$4="M",1,2))*(1-Inputs_S34!$C$17)^MAX(B71-Inputs_S34!$C$18,0)))</f>
        <v/>
      </c>
      <c r="E71">
        <f>E70*(1-D71)</f>
        <v/>
      </c>
      <c r="F71">
        <f>(E70+E71)/2</f>
        <v/>
      </c>
      <c r="G71">
        <f>IF(A71&lt;$B$6+1,0,IF(A71=$B$6+1,1,G70*(1+IF(B71=Inputs_S34!$C$7,Inputs_S34!$C$8,Inputs_S34!$C$6))))</f>
        <v/>
      </c>
      <c r="H71">
        <f>$B$10*G71*F71</f>
        <v/>
      </c>
      <c r="I71">
        <f>(1+Inputs_S34!$C$26)^-MIN(A71-0.5,$B$6)*(1+Inputs_S34!$C$27)^-MAX(A71-0.5-$B$6,0)</f>
        <v/>
      </c>
      <c r="J71">
        <f>H71*I71</f>
        <v/>
      </c>
    </row>
    <row r="72">
      <c r="A72" t="n">
        <v>54</v>
      </c>
      <c r="B72">
        <f>Inputs_S34!$C$2+A72</f>
        <v/>
      </c>
      <c r="C72">
        <f>$B$5+A72-1</f>
        <v/>
      </c>
      <c r="D72">
        <f>IF(C72&gt;=120,1,MIN(1,IF(A72&lt;=$B$6,IF($B$4="M",Inputs_S34!$C$13,Inputs_S34!$C$14),IF($B$4="M",Inputs_S34!$C$15,Inputs_S34!$C$16))*INDEX(ILT!$B$2:$C$122,MIN(C72,120)+1,IF($B$4="M",1,2))*(1-Inputs_S34!$C$17)^MAX(B72-Inputs_S34!$C$18,0)))</f>
        <v/>
      </c>
      <c r="E72">
        <f>E71*(1-D72)</f>
        <v/>
      </c>
      <c r="F72">
        <f>(E71+E72)/2</f>
        <v/>
      </c>
      <c r="G72">
        <f>IF(A72&lt;$B$6+1,0,IF(A72=$B$6+1,1,G71*(1+IF(B72=Inputs_S34!$C$7,Inputs_S34!$C$8,Inputs_S34!$C$6))))</f>
        <v/>
      </c>
      <c r="H72">
        <f>$B$10*G72*F72</f>
        <v/>
      </c>
      <c r="I72">
        <f>(1+Inputs_S34!$C$26)^-MIN(A72-0.5,$B$6)*(1+Inputs_S34!$C$27)^-MAX(A72-0.5-$B$6,0)</f>
        <v/>
      </c>
      <c r="J72">
        <f>H72*I72</f>
        <v/>
      </c>
    </row>
    <row r="73">
      <c r="A73" t="n">
        <v>55</v>
      </c>
      <c r="B73">
        <f>Inputs_S34!$C$2+A73</f>
        <v/>
      </c>
      <c r="C73">
        <f>$B$5+A73-1</f>
        <v/>
      </c>
      <c r="D73">
        <f>IF(C73&gt;=120,1,MIN(1,IF(A73&lt;=$B$6,IF($B$4="M",Inputs_S34!$C$13,Inputs_S34!$C$14),IF($B$4="M",Inputs_S34!$C$15,Inputs_S34!$C$16))*INDEX(ILT!$B$2:$C$122,MIN(C73,120)+1,IF($B$4="M",1,2))*(1-Inputs_S34!$C$17)^MAX(B73-Inputs_S34!$C$18,0)))</f>
        <v/>
      </c>
      <c r="E73">
        <f>E72*(1-D73)</f>
        <v/>
      </c>
      <c r="F73">
        <f>(E72+E73)/2</f>
        <v/>
      </c>
      <c r="G73">
        <f>IF(A73&lt;$B$6+1,0,IF(A73=$B$6+1,1,G72*(1+IF(B73=Inputs_S34!$C$7,Inputs_S34!$C$8,Inputs_S34!$C$6))))</f>
        <v/>
      </c>
      <c r="H73">
        <f>$B$10*G73*F73</f>
        <v/>
      </c>
      <c r="I73">
        <f>(1+Inputs_S34!$C$26)^-MIN(A73-0.5,$B$6)*(1+Inputs_S34!$C$27)^-MAX(A73-0.5-$B$6,0)</f>
        <v/>
      </c>
      <c r="J73">
        <f>H73*I73</f>
        <v/>
      </c>
    </row>
    <row r="74">
      <c r="A74" t="n">
        <v>56</v>
      </c>
      <c r="B74">
        <f>Inputs_S34!$C$2+A74</f>
        <v/>
      </c>
      <c r="C74">
        <f>$B$5+A74-1</f>
        <v/>
      </c>
      <c r="D74">
        <f>IF(C74&gt;=120,1,MIN(1,IF(A74&lt;=$B$6,IF($B$4="M",Inputs_S34!$C$13,Inputs_S34!$C$14),IF($B$4="M",Inputs_S34!$C$15,Inputs_S34!$C$16))*INDEX(ILT!$B$2:$C$122,MIN(C74,120)+1,IF($B$4="M",1,2))*(1-Inputs_S34!$C$17)^MAX(B74-Inputs_S34!$C$18,0)))</f>
        <v/>
      </c>
      <c r="E74">
        <f>E73*(1-D74)</f>
        <v/>
      </c>
      <c r="F74">
        <f>(E73+E74)/2</f>
        <v/>
      </c>
      <c r="G74">
        <f>IF(A74&lt;$B$6+1,0,IF(A74=$B$6+1,1,G73*(1+IF(B74=Inputs_S34!$C$7,Inputs_S34!$C$8,Inputs_S34!$C$6))))</f>
        <v/>
      </c>
      <c r="H74">
        <f>$B$10*G74*F74</f>
        <v/>
      </c>
      <c r="I74">
        <f>(1+Inputs_S34!$C$26)^-MIN(A74-0.5,$B$6)*(1+Inputs_S34!$C$27)^-MAX(A74-0.5-$B$6,0)</f>
        <v/>
      </c>
      <c r="J74">
        <f>H74*I74</f>
        <v/>
      </c>
    </row>
    <row r="75">
      <c r="A75" t="n">
        <v>57</v>
      </c>
      <c r="B75">
        <f>Inputs_S34!$C$2+A75</f>
        <v/>
      </c>
      <c r="C75">
        <f>$B$5+A75-1</f>
        <v/>
      </c>
      <c r="D75">
        <f>IF(C75&gt;=120,1,MIN(1,IF(A75&lt;=$B$6,IF($B$4="M",Inputs_S34!$C$13,Inputs_S34!$C$14),IF($B$4="M",Inputs_S34!$C$15,Inputs_S34!$C$16))*INDEX(ILT!$B$2:$C$122,MIN(C75,120)+1,IF($B$4="M",1,2))*(1-Inputs_S34!$C$17)^MAX(B75-Inputs_S34!$C$18,0)))</f>
        <v/>
      </c>
      <c r="E75">
        <f>E74*(1-D75)</f>
        <v/>
      </c>
      <c r="F75">
        <f>(E74+E75)/2</f>
        <v/>
      </c>
      <c r="G75">
        <f>IF(A75&lt;$B$6+1,0,IF(A75=$B$6+1,1,G74*(1+IF(B75=Inputs_S34!$C$7,Inputs_S34!$C$8,Inputs_S34!$C$6))))</f>
        <v/>
      </c>
      <c r="H75">
        <f>$B$10*G75*F75</f>
        <v/>
      </c>
      <c r="I75">
        <f>(1+Inputs_S34!$C$26)^-MIN(A75-0.5,$B$6)*(1+Inputs_S34!$C$27)^-MAX(A75-0.5-$B$6,0)</f>
        <v/>
      </c>
      <c r="J75">
        <f>H75*I75</f>
        <v/>
      </c>
    </row>
    <row r="76">
      <c r="A76" t="n">
        <v>58</v>
      </c>
      <c r="B76">
        <f>Inputs_S34!$C$2+A76</f>
        <v/>
      </c>
      <c r="C76">
        <f>$B$5+A76-1</f>
        <v/>
      </c>
      <c r="D76">
        <f>IF(C76&gt;=120,1,MIN(1,IF(A76&lt;=$B$6,IF($B$4="M",Inputs_S34!$C$13,Inputs_S34!$C$14),IF($B$4="M",Inputs_S34!$C$15,Inputs_S34!$C$16))*INDEX(ILT!$B$2:$C$122,MIN(C76,120)+1,IF($B$4="M",1,2))*(1-Inputs_S34!$C$17)^MAX(B76-Inputs_S34!$C$18,0)))</f>
        <v/>
      </c>
      <c r="E76">
        <f>E75*(1-D76)</f>
        <v/>
      </c>
      <c r="F76">
        <f>(E75+E76)/2</f>
        <v/>
      </c>
      <c r="G76">
        <f>IF(A76&lt;$B$6+1,0,IF(A76=$B$6+1,1,G75*(1+IF(B76=Inputs_S34!$C$7,Inputs_S34!$C$8,Inputs_S34!$C$6))))</f>
        <v/>
      </c>
      <c r="H76">
        <f>$B$10*G76*F76</f>
        <v/>
      </c>
      <c r="I76">
        <f>(1+Inputs_S34!$C$26)^-MIN(A76-0.5,$B$6)*(1+Inputs_S34!$C$27)^-MAX(A76-0.5-$B$6,0)</f>
        <v/>
      </c>
      <c r="J76">
        <f>H76*I76</f>
        <v/>
      </c>
    </row>
    <row r="77">
      <c r="A77" t="n">
        <v>59</v>
      </c>
      <c r="B77">
        <f>Inputs_S34!$C$2+A77</f>
        <v/>
      </c>
      <c r="C77">
        <f>$B$5+A77-1</f>
        <v/>
      </c>
      <c r="D77">
        <f>IF(C77&gt;=120,1,MIN(1,IF(A77&lt;=$B$6,IF($B$4="M",Inputs_S34!$C$13,Inputs_S34!$C$14),IF($B$4="M",Inputs_S34!$C$15,Inputs_S34!$C$16))*INDEX(ILT!$B$2:$C$122,MIN(C77,120)+1,IF($B$4="M",1,2))*(1-Inputs_S34!$C$17)^MAX(B77-Inputs_S34!$C$18,0)))</f>
        <v/>
      </c>
      <c r="E77">
        <f>E76*(1-D77)</f>
        <v/>
      </c>
      <c r="F77">
        <f>(E76+E77)/2</f>
        <v/>
      </c>
      <c r="G77">
        <f>IF(A77&lt;$B$6+1,0,IF(A77=$B$6+1,1,G76*(1+IF(B77=Inputs_S34!$C$7,Inputs_S34!$C$8,Inputs_S34!$C$6))))</f>
        <v/>
      </c>
      <c r="H77">
        <f>$B$10*G77*F77</f>
        <v/>
      </c>
      <c r="I77">
        <f>(1+Inputs_S34!$C$26)^-MIN(A77-0.5,$B$6)*(1+Inputs_S34!$C$27)^-MAX(A77-0.5-$B$6,0)</f>
        <v/>
      </c>
      <c r="J77">
        <f>H77*I77</f>
        <v/>
      </c>
    </row>
    <row r="78">
      <c r="A78" t="n">
        <v>60</v>
      </c>
      <c r="B78">
        <f>Inputs_S34!$C$2+A78</f>
        <v/>
      </c>
      <c r="C78">
        <f>$B$5+A78-1</f>
        <v/>
      </c>
      <c r="D78">
        <f>IF(C78&gt;=120,1,MIN(1,IF(A78&lt;=$B$6,IF($B$4="M",Inputs_S34!$C$13,Inputs_S34!$C$14),IF($B$4="M",Inputs_S34!$C$15,Inputs_S34!$C$16))*INDEX(ILT!$B$2:$C$122,MIN(C78,120)+1,IF($B$4="M",1,2))*(1-Inputs_S34!$C$17)^MAX(B78-Inputs_S34!$C$18,0)))</f>
        <v/>
      </c>
      <c r="E78">
        <f>E77*(1-D78)</f>
        <v/>
      </c>
      <c r="F78">
        <f>(E77+E78)/2</f>
        <v/>
      </c>
      <c r="G78">
        <f>IF(A78&lt;$B$6+1,0,IF(A78=$B$6+1,1,G77*(1+IF(B78=Inputs_S34!$C$7,Inputs_S34!$C$8,Inputs_S34!$C$6))))</f>
        <v/>
      </c>
      <c r="H78">
        <f>$B$10*G78*F78</f>
        <v/>
      </c>
      <c r="I78">
        <f>(1+Inputs_S34!$C$26)^-MIN(A78-0.5,$B$6)*(1+Inputs_S34!$C$27)^-MAX(A78-0.5-$B$6,0)</f>
        <v/>
      </c>
      <c r="J78">
        <f>H78*I78</f>
        <v/>
      </c>
    </row>
    <row r="79">
      <c r="A79" t="n">
        <v>61</v>
      </c>
      <c r="B79">
        <f>Inputs_S34!$C$2+A79</f>
        <v/>
      </c>
      <c r="C79">
        <f>$B$5+A79-1</f>
        <v/>
      </c>
      <c r="D79">
        <f>IF(C79&gt;=120,1,MIN(1,IF(A79&lt;=$B$6,IF($B$4="M",Inputs_S34!$C$13,Inputs_S34!$C$14),IF($B$4="M",Inputs_S34!$C$15,Inputs_S34!$C$16))*INDEX(ILT!$B$2:$C$122,MIN(C79,120)+1,IF($B$4="M",1,2))*(1-Inputs_S34!$C$17)^MAX(B79-Inputs_S34!$C$18,0)))</f>
        <v/>
      </c>
      <c r="E79">
        <f>E78*(1-D79)</f>
        <v/>
      </c>
      <c r="F79">
        <f>(E78+E79)/2</f>
        <v/>
      </c>
      <c r="G79">
        <f>IF(A79&lt;$B$6+1,0,IF(A79=$B$6+1,1,G78*(1+IF(B79=Inputs_S34!$C$7,Inputs_S34!$C$8,Inputs_S34!$C$6))))</f>
        <v/>
      </c>
      <c r="H79">
        <f>$B$10*G79*F79</f>
        <v/>
      </c>
      <c r="I79">
        <f>(1+Inputs_S34!$C$26)^-MIN(A79-0.5,$B$6)*(1+Inputs_S34!$C$27)^-MAX(A79-0.5-$B$6,0)</f>
        <v/>
      </c>
      <c r="J79">
        <f>H79*I79</f>
        <v/>
      </c>
    </row>
    <row r="80">
      <c r="A80" t="n">
        <v>62</v>
      </c>
      <c r="B80">
        <f>Inputs_S34!$C$2+A80</f>
        <v/>
      </c>
      <c r="C80">
        <f>$B$5+A80-1</f>
        <v/>
      </c>
      <c r="D80">
        <f>IF(C80&gt;=120,1,MIN(1,IF(A80&lt;=$B$6,IF($B$4="M",Inputs_S34!$C$13,Inputs_S34!$C$14),IF($B$4="M",Inputs_S34!$C$15,Inputs_S34!$C$16))*INDEX(ILT!$B$2:$C$122,MIN(C80,120)+1,IF($B$4="M",1,2))*(1-Inputs_S34!$C$17)^MAX(B80-Inputs_S34!$C$18,0)))</f>
        <v/>
      </c>
      <c r="E80">
        <f>E79*(1-D80)</f>
        <v/>
      </c>
      <c r="F80">
        <f>(E79+E80)/2</f>
        <v/>
      </c>
      <c r="G80">
        <f>IF(A80&lt;$B$6+1,0,IF(A80=$B$6+1,1,G79*(1+IF(B80=Inputs_S34!$C$7,Inputs_S34!$C$8,Inputs_S34!$C$6))))</f>
        <v/>
      </c>
      <c r="H80">
        <f>$B$10*G80*F80</f>
        <v/>
      </c>
      <c r="I80">
        <f>(1+Inputs_S34!$C$26)^-MIN(A80-0.5,$B$6)*(1+Inputs_S34!$C$27)^-MAX(A80-0.5-$B$6,0)</f>
        <v/>
      </c>
      <c r="J80">
        <f>H80*I80</f>
        <v/>
      </c>
    </row>
    <row r="81">
      <c r="A81" t="n">
        <v>63</v>
      </c>
      <c r="B81">
        <f>Inputs_S34!$C$2+A81</f>
        <v/>
      </c>
      <c r="C81">
        <f>$B$5+A81-1</f>
        <v/>
      </c>
      <c r="D81">
        <f>IF(C81&gt;=120,1,MIN(1,IF(A81&lt;=$B$6,IF($B$4="M",Inputs_S34!$C$13,Inputs_S34!$C$14),IF($B$4="M",Inputs_S34!$C$15,Inputs_S34!$C$16))*INDEX(ILT!$B$2:$C$122,MIN(C81,120)+1,IF($B$4="M",1,2))*(1-Inputs_S34!$C$17)^MAX(B81-Inputs_S34!$C$18,0)))</f>
        <v/>
      </c>
      <c r="E81">
        <f>E80*(1-D81)</f>
        <v/>
      </c>
      <c r="F81">
        <f>(E80+E81)/2</f>
        <v/>
      </c>
      <c r="G81">
        <f>IF(A81&lt;$B$6+1,0,IF(A81=$B$6+1,1,G80*(1+IF(B81=Inputs_S34!$C$7,Inputs_S34!$C$8,Inputs_S34!$C$6))))</f>
        <v/>
      </c>
      <c r="H81">
        <f>$B$10*G81*F81</f>
        <v/>
      </c>
      <c r="I81">
        <f>(1+Inputs_S34!$C$26)^-MIN(A81-0.5,$B$6)*(1+Inputs_S34!$C$27)^-MAX(A81-0.5-$B$6,0)</f>
        <v/>
      </c>
      <c r="J81">
        <f>H81*I81</f>
        <v/>
      </c>
    </row>
    <row r="82">
      <c r="A82" t="n">
        <v>64</v>
      </c>
      <c r="B82">
        <f>Inputs_S34!$C$2+A82</f>
        <v/>
      </c>
      <c r="C82">
        <f>$B$5+A82-1</f>
        <v/>
      </c>
      <c r="D82">
        <f>IF(C82&gt;=120,1,MIN(1,IF(A82&lt;=$B$6,IF($B$4="M",Inputs_S34!$C$13,Inputs_S34!$C$14),IF($B$4="M",Inputs_S34!$C$15,Inputs_S34!$C$16))*INDEX(ILT!$B$2:$C$122,MIN(C82,120)+1,IF($B$4="M",1,2))*(1-Inputs_S34!$C$17)^MAX(B82-Inputs_S34!$C$18,0)))</f>
        <v/>
      </c>
      <c r="E82">
        <f>E81*(1-D82)</f>
        <v/>
      </c>
      <c r="F82">
        <f>(E81+E82)/2</f>
        <v/>
      </c>
      <c r="G82">
        <f>IF(A82&lt;$B$6+1,0,IF(A82=$B$6+1,1,G81*(1+IF(B82=Inputs_S34!$C$7,Inputs_S34!$C$8,Inputs_S34!$C$6))))</f>
        <v/>
      </c>
      <c r="H82">
        <f>$B$10*G82*F82</f>
        <v/>
      </c>
      <c r="I82">
        <f>(1+Inputs_S34!$C$26)^-MIN(A82-0.5,$B$6)*(1+Inputs_S34!$C$27)^-MAX(A82-0.5-$B$6,0)</f>
        <v/>
      </c>
      <c r="J82">
        <f>H82*I82</f>
        <v/>
      </c>
    </row>
    <row r="83">
      <c r="A83" t="n">
        <v>65</v>
      </c>
      <c r="B83">
        <f>Inputs_S34!$C$2+A83</f>
        <v/>
      </c>
      <c r="C83">
        <f>$B$5+A83-1</f>
        <v/>
      </c>
      <c r="D83">
        <f>IF(C83&gt;=120,1,MIN(1,IF(A83&lt;=$B$6,IF($B$4="M",Inputs_S34!$C$13,Inputs_S34!$C$14),IF($B$4="M",Inputs_S34!$C$15,Inputs_S34!$C$16))*INDEX(ILT!$B$2:$C$122,MIN(C83,120)+1,IF($B$4="M",1,2))*(1-Inputs_S34!$C$17)^MAX(B83-Inputs_S34!$C$18,0)))</f>
        <v/>
      </c>
      <c r="E83">
        <f>E82*(1-D83)</f>
        <v/>
      </c>
      <c r="F83">
        <f>(E82+E83)/2</f>
        <v/>
      </c>
      <c r="G83">
        <f>IF(A83&lt;$B$6+1,0,IF(A83=$B$6+1,1,G82*(1+IF(B83=Inputs_S34!$C$7,Inputs_S34!$C$8,Inputs_S34!$C$6))))</f>
        <v/>
      </c>
      <c r="H83">
        <f>$B$10*G83*F83</f>
        <v/>
      </c>
      <c r="I83">
        <f>(1+Inputs_S34!$C$26)^-MIN(A83-0.5,$B$6)*(1+Inputs_S34!$C$27)^-MAX(A83-0.5-$B$6,0)</f>
        <v/>
      </c>
      <c r="J83">
        <f>H83*I83</f>
        <v/>
      </c>
    </row>
    <row r="84">
      <c r="A84" t="n">
        <v>66</v>
      </c>
      <c r="B84">
        <f>Inputs_S34!$C$2+A84</f>
        <v/>
      </c>
      <c r="C84">
        <f>$B$5+A84-1</f>
        <v/>
      </c>
      <c r="D84">
        <f>IF(C84&gt;=120,1,MIN(1,IF(A84&lt;=$B$6,IF($B$4="M",Inputs_S34!$C$13,Inputs_S34!$C$14),IF($B$4="M",Inputs_S34!$C$15,Inputs_S34!$C$16))*INDEX(ILT!$B$2:$C$122,MIN(C84,120)+1,IF($B$4="M",1,2))*(1-Inputs_S34!$C$17)^MAX(B84-Inputs_S34!$C$18,0)))</f>
        <v/>
      </c>
      <c r="E84">
        <f>E83*(1-D84)</f>
        <v/>
      </c>
      <c r="F84">
        <f>(E83+E84)/2</f>
        <v/>
      </c>
      <c r="G84">
        <f>IF(A84&lt;$B$6+1,0,IF(A84=$B$6+1,1,G83*(1+IF(B84=Inputs_S34!$C$7,Inputs_S34!$C$8,Inputs_S34!$C$6))))</f>
        <v/>
      </c>
      <c r="H84">
        <f>$B$10*G84*F84</f>
        <v/>
      </c>
      <c r="I84">
        <f>(1+Inputs_S34!$C$26)^-MIN(A84-0.5,$B$6)*(1+Inputs_S34!$C$27)^-MAX(A84-0.5-$B$6,0)</f>
        <v/>
      </c>
      <c r="J84">
        <f>H84*I84</f>
        <v/>
      </c>
    </row>
    <row r="85">
      <c r="A85" t="n">
        <v>67</v>
      </c>
      <c r="B85">
        <f>Inputs_S34!$C$2+A85</f>
        <v/>
      </c>
      <c r="C85">
        <f>$B$5+A85-1</f>
        <v/>
      </c>
      <c r="D85">
        <f>IF(C85&gt;=120,1,MIN(1,IF(A85&lt;=$B$6,IF($B$4="M",Inputs_S34!$C$13,Inputs_S34!$C$14),IF($B$4="M",Inputs_S34!$C$15,Inputs_S34!$C$16))*INDEX(ILT!$B$2:$C$122,MIN(C85,120)+1,IF($B$4="M",1,2))*(1-Inputs_S34!$C$17)^MAX(B85-Inputs_S34!$C$18,0)))</f>
        <v/>
      </c>
      <c r="E85">
        <f>E84*(1-D85)</f>
        <v/>
      </c>
      <c r="F85">
        <f>(E84+E85)/2</f>
        <v/>
      </c>
      <c r="G85">
        <f>IF(A85&lt;$B$6+1,0,IF(A85=$B$6+1,1,G84*(1+IF(B85=Inputs_S34!$C$7,Inputs_S34!$C$8,Inputs_S34!$C$6))))</f>
        <v/>
      </c>
      <c r="H85">
        <f>$B$10*G85*F85</f>
        <v/>
      </c>
      <c r="I85">
        <f>(1+Inputs_S34!$C$26)^-MIN(A85-0.5,$B$6)*(1+Inputs_S34!$C$27)^-MAX(A85-0.5-$B$6,0)</f>
        <v/>
      </c>
      <c r="J85">
        <f>H85*I85</f>
        <v/>
      </c>
    </row>
    <row r="86">
      <c r="A86" t="n">
        <v>68</v>
      </c>
      <c r="B86">
        <f>Inputs_S34!$C$2+A86</f>
        <v/>
      </c>
      <c r="C86">
        <f>$B$5+A86-1</f>
        <v/>
      </c>
      <c r="D86">
        <f>IF(C86&gt;=120,1,MIN(1,IF(A86&lt;=$B$6,IF($B$4="M",Inputs_S34!$C$13,Inputs_S34!$C$14),IF($B$4="M",Inputs_S34!$C$15,Inputs_S34!$C$16))*INDEX(ILT!$B$2:$C$122,MIN(C86,120)+1,IF($B$4="M",1,2))*(1-Inputs_S34!$C$17)^MAX(B86-Inputs_S34!$C$18,0)))</f>
        <v/>
      </c>
      <c r="E86">
        <f>E85*(1-D86)</f>
        <v/>
      </c>
      <c r="F86">
        <f>(E85+E86)/2</f>
        <v/>
      </c>
      <c r="G86">
        <f>IF(A86&lt;$B$6+1,0,IF(A86=$B$6+1,1,G85*(1+IF(B86=Inputs_S34!$C$7,Inputs_S34!$C$8,Inputs_S34!$C$6))))</f>
        <v/>
      </c>
      <c r="H86">
        <f>$B$10*G86*F86</f>
        <v/>
      </c>
      <c r="I86">
        <f>(1+Inputs_S34!$C$26)^-MIN(A86-0.5,$B$6)*(1+Inputs_S34!$C$27)^-MAX(A86-0.5-$B$6,0)</f>
        <v/>
      </c>
      <c r="J86">
        <f>H86*I86</f>
        <v/>
      </c>
    </row>
    <row r="87">
      <c r="A87" t="n">
        <v>69</v>
      </c>
      <c r="B87">
        <f>Inputs_S34!$C$2+A87</f>
        <v/>
      </c>
      <c r="C87">
        <f>$B$5+A87-1</f>
        <v/>
      </c>
      <c r="D87">
        <f>IF(C87&gt;=120,1,MIN(1,IF(A87&lt;=$B$6,IF($B$4="M",Inputs_S34!$C$13,Inputs_S34!$C$14),IF($B$4="M",Inputs_S34!$C$15,Inputs_S34!$C$16))*INDEX(ILT!$B$2:$C$122,MIN(C87,120)+1,IF($B$4="M",1,2))*(1-Inputs_S34!$C$17)^MAX(B87-Inputs_S34!$C$18,0)))</f>
        <v/>
      </c>
      <c r="E87">
        <f>E86*(1-D87)</f>
        <v/>
      </c>
      <c r="F87">
        <f>(E86+E87)/2</f>
        <v/>
      </c>
      <c r="G87">
        <f>IF(A87&lt;$B$6+1,0,IF(A87=$B$6+1,1,G86*(1+IF(B87=Inputs_S34!$C$7,Inputs_S34!$C$8,Inputs_S34!$C$6))))</f>
        <v/>
      </c>
      <c r="H87">
        <f>$B$10*G87*F87</f>
        <v/>
      </c>
      <c r="I87">
        <f>(1+Inputs_S34!$C$26)^-MIN(A87-0.5,$B$6)*(1+Inputs_S34!$C$27)^-MAX(A87-0.5-$B$6,0)</f>
        <v/>
      </c>
      <c r="J87">
        <f>H87*I87</f>
        <v/>
      </c>
    </row>
    <row r="88">
      <c r="A88" t="n">
        <v>70</v>
      </c>
      <c r="B88">
        <f>Inputs_S34!$C$2+A88</f>
        <v/>
      </c>
      <c r="C88">
        <f>$B$5+A88-1</f>
        <v/>
      </c>
      <c r="D88">
        <f>IF(C88&gt;=120,1,MIN(1,IF(A88&lt;=$B$6,IF($B$4="M",Inputs_S34!$C$13,Inputs_S34!$C$14),IF($B$4="M",Inputs_S34!$C$15,Inputs_S34!$C$16))*INDEX(ILT!$B$2:$C$122,MIN(C88,120)+1,IF($B$4="M",1,2))*(1-Inputs_S34!$C$17)^MAX(B88-Inputs_S34!$C$18,0)))</f>
        <v/>
      </c>
      <c r="E88">
        <f>E87*(1-D88)</f>
        <v/>
      </c>
      <c r="F88">
        <f>(E87+E88)/2</f>
        <v/>
      </c>
      <c r="G88">
        <f>IF(A88&lt;$B$6+1,0,IF(A88=$B$6+1,1,G87*(1+IF(B88=Inputs_S34!$C$7,Inputs_S34!$C$8,Inputs_S34!$C$6))))</f>
        <v/>
      </c>
      <c r="H88">
        <f>$B$10*G88*F88</f>
        <v/>
      </c>
      <c r="I88">
        <f>(1+Inputs_S34!$C$26)^-MIN(A88-0.5,$B$6)*(1+Inputs_S34!$C$27)^-MAX(A88-0.5-$B$6,0)</f>
        <v/>
      </c>
      <c r="J88">
        <f>H88*I88</f>
        <v/>
      </c>
    </row>
    <row r="89">
      <c r="A89" t="n">
        <v>71</v>
      </c>
      <c r="B89">
        <f>Inputs_S34!$C$2+A89</f>
        <v/>
      </c>
      <c r="C89">
        <f>$B$5+A89-1</f>
        <v/>
      </c>
      <c r="D89">
        <f>IF(C89&gt;=120,1,MIN(1,IF(A89&lt;=$B$6,IF($B$4="M",Inputs_S34!$C$13,Inputs_S34!$C$14),IF($B$4="M",Inputs_S34!$C$15,Inputs_S34!$C$16))*INDEX(ILT!$B$2:$C$122,MIN(C89,120)+1,IF($B$4="M",1,2))*(1-Inputs_S34!$C$17)^MAX(B89-Inputs_S34!$C$18,0)))</f>
        <v/>
      </c>
      <c r="E89">
        <f>E88*(1-D89)</f>
        <v/>
      </c>
      <c r="F89">
        <f>(E88+E89)/2</f>
        <v/>
      </c>
      <c r="G89">
        <f>IF(A89&lt;$B$6+1,0,IF(A89=$B$6+1,1,G88*(1+IF(B89=Inputs_S34!$C$7,Inputs_S34!$C$8,Inputs_S34!$C$6))))</f>
        <v/>
      </c>
      <c r="H89">
        <f>$B$10*G89*F89</f>
        <v/>
      </c>
      <c r="I89">
        <f>(1+Inputs_S34!$C$26)^-MIN(A89-0.5,$B$6)*(1+Inputs_S34!$C$27)^-MAX(A89-0.5-$B$6,0)</f>
        <v/>
      </c>
      <c r="J89">
        <f>H89*I89</f>
        <v/>
      </c>
    </row>
    <row r="90">
      <c r="A90" t="n">
        <v>72</v>
      </c>
      <c r="B90">
        <f>Inputs_S34!$C$2+A90</f>
        <v/>
      </c>
      <c r="C90">
        <f>$B$5+A90-1</f>
        <v/>
      </c>
      <c r="D90">
        <f>IF(C90&gt;=120,1,MIN(1,IF(A90&lt;=$B$6,IF($B$4="M",Inputs_S34!$C$13,Inputs_S34!$C$14),IF($B$4="M",Inputs_S34!$C$15,Inputs_S34!$C$16))*INDEX(ILT!$B$2:$C$122,MIN(C90,120)+1,IF($B$4="M",1,2))*(1-Inputs_S34!$C$17)^MAX(B90-Inputs_S34!$C$18,0)))</f>
        <v/>
      </c>
      <c r="E90">
        <f>E89*(1-D90)</f>
        <v/>
      </c>
      <c r="F90">
        <f>(E89+E90)/2</f>
        <v/>
      </c>
      <c r="G90">
        <f>IF(A90&lt;$B$6+1,0,IF(A90=$B$6+1,1,G89*(1+IF(B90=Inputs_S34!$C$7,Inputs_S34!$C$8,Inputs_S34!$C$6))))</f>
        <v/>
      </c>
      <c r="H90">
        <f>$B$10*G90*F90</f>
        <v/>
      </c>
      <c r="I90">
        <f>(1+Inputs_S34!$C$26)^-MIN(A90-0.5,$B$6)*(1+Inputs_S34!$C$27)^-MAX(A90-0.5-$B$6,0)</f>
        <v/>
      </c>
      <c r="J90">
        <f>H90*I90</f>
        <v/>
      </c>
    </row>
    <row r="91">
      <c r="A91" t="n">
        <v>73</v>
      </c>
      <c r="B91">
        <f>Inputs_S34!$C$2+A91</f>
        <v/>
      </c>
      <c r="C91">
        <f>$B$5+A91-1</f>
        <v/>
      </c>
      <c r="D91">
        <f>IF(C91&gt;=120,1,MIN(1,IF(A91&lt;=$B$6,IF($B$4="M",Inputs_S34!$C$13,Inputs_S34!$C$14),IF($B$4="M",Inputs_S34!$C$15,Inputs_S34!$C$16))*INDEX(ILT!$B$2:$C$122,MIN(C91,120)+1,IF($B$4="M",1,2))*(1-Inputs_S34!$C$17)^MAX(B91-Inputs_S34!$C$18,0)))</f>
        <v/>
      </c>
      <c r="E91">
        <f>E90*(1-D91)</f>
        <v/>
      </c>
      <c r="F91">
        <f>(E90+E91)/2</f>
        <v/>
      </c>
      <c r="G91">
        <f>IF(A91&lt;$B$6+1,0,IF(A91=$B$6+1,1,G90*(1+IF(B91=Inputs_S34!$C$7,Inputs_S34!$C$8,Inputs_S34!$C$6))))</f>
        <v/>
      </c>
      <c r="H91">
        <f>$B$10*G91*F91</f>
        <v/>
      </c>
      <c r="I91">
        <f>(1+Inputs_S34!$C$26)^-MIN(A91-0.5,$B$6)*(1+Inputs_S34!$C$27)^-MAX(A91-0.5-$B$6,0)</f>
        <v/>
      </c>
      <c r="J91">
        <f>H91*I91</f>
        <v/>
      </c>
    </row>
    <row r="92">
      <c r="A92" t="n">
        <v>74</v>
      </c>
      <c r="B92">
        <f>Inputs_S34!$C$2+A92</f>
        <v/>
      </c>
      <c r="C92">
        <f>$B$5+A92-1</f>
        <v/>
      </c>
      <c r="D92">
        <f>IF(C92&gt;=120,1,MIN(1,IF(A92&lt;=$B$6,IF($B$4="M",Inputs_S34!$C$13,Inputs_S34!$C$14),IF($B$4="M",Inputs_S34!$C$15,Inputs_S34!$C$16))*INDEX(ILT!$B$2:$C$122,MIN(C92,120)+1,IF($B$4="M",1,2))*(1-Inputs_S34!$C$17)^MAX(B92-Inputs_S34!$C$18,0)))</f>
        <v/>
      </c>
      <c r="E92">
        <f>E91*(1-D92)</f>
        <v/>
      </c>
      <c r="F92">
        <f>(E91+E92)/2</f>
        <v/>
      </c>
      <c r="G92">
        <f>IF(A92&lt;$B$6+1,0,IF(A92=$B$6+1,1,G91*(1+IF(B92=Inputs_S34!$C$7,Inputs_S34!$C$8,Inputs_S34!$C$6))))</f>
        <v/>
      </c>
      <c r="H92">
        <f>$B$10*G92*F92</f>
        <v/>
      </c>
      <c r="I92">
        <f>(1+Inputs_S34!$C$26)^-MIN(A92-0.5,$B$6)*(1+Inputs_S34!$C$27)^-MAX(A92-0.5-$B$6,0)</f>
        <v/>
      </c>
      <c r="J92">
        <f>H92*I92</f>
        <v/>
      </c>
    </row>
    <row r="93">
      <c r="A93" t="n">
        <v>75</v>
      </c>
      <c r="B93">
        <f>Inputs_S34!$C$2+A93</f>
        <v/>
      </c>
      <c r="C93">
        <f>$B$5+A93-1</f>
        <v/>
      </c>
      <c r="D93">
        <f>IF(C93&gt;=120,1,MIN(1,IF(A93&lt;=$B$6,IF($B$4="M",Inputs_S34!$C$13,Inputs_S34!$C$14),IF($B$4="M",Inputs_S34!$C$15,Inputs_S34!$C$16))*INDEX(ILT!$B$2:$C$122,MIN(C93,120)+1,IF($B$4="M",1,2))*(1-Inputs_S34!$C$17)^MAX(B93-Inputs_S34!$C$18,0)))</f>
        <v/>
      </c>
      <c r="E93">
        <f>E92*(1-D93)</f>
        <v/>
      </c>
      <c r="F93">
        <f>(E92+E93)/2</f>
        <v/>
      </c>
      <c r="G93">
        <f>IF(A93&lt;$B$6+1,0,IF(A93=$B$6+1,1,G92*(1+IF(B93=Inputs_S34!$C$7,Inputs_S34!$C$8,Inputs_S34!$C$6))))</f>
        <v/>
      </c>
      <c r="H93">
        <f>$B$10*G93*F93</f>
        <v/>
      </c>
      <c r="I93">
        <f>(1+Inputs_S34!$C$26)^-MIN(A93-0.5,$B$6)*(1+Inputs_S34!$C$27)^-MAX(A93-0.5-$B$6,0)</f>
        <v/>
      </c>
      <c r="J93">
        <f>H93*I93</f>
        <v/>
      </c>
    </row>
    <row r="94">
      <c r="A94" t="n">
        <v>76</v>
      </c>
      <c r="B94">
        <f>Inputs_S34!$C$2+A94</f>
        <v/>
      </c>
      <c r="C94">
        <f>$B$5+A94-1</f>
        <v/>
      </c>
      <c r="D94">
        <f>IF(C94&gt;=120,1,MIN(1,IF(A94&lt;=$B$6,IF($B$4="M",Inputs_S34!$C$13,Inputs_S34!$C$14),IF($B$4="M",Inputs_S34!$C$15,Inputs_S34!$C$16))*INDEX(ILT!$B$2:$C$122,MIN(C94,120)+1,IF($B$4="M",1,2))*(1-Inputs_S34!$C$17)^MAX(B94-Inputs_S34!$C$18,0)))</f>
        <v/>
      </c>
      <c r="E94">
        <f>E93*(1-D94)</f>
        <v/>
      </c>
      <c r="F94">
        <f>(E93+E94)/2</f>
        <v/>
      </c>
      <c r="G94">
        <f>IF(A94&lt;$B$6+1,0,IF(A94=$B$6+1,1,G93*(1+IF(B94=Inputs_S34!$C$7,Inputs_S34!$C$8,Inputs_S34!$C$6))))</f>
        <v/>
      </c>
      <c r="H94">
        <f>$B$10*G94*F94</f>
        <v/>
      </c>
      <c r="I94">
        <f>(1+Inputs_S34!$C$26)^-MIN(A94-0.5,$B$6)*(1+Inputs_S34!$C$27)^-MAX(A94-0.5-$B$6,0)</f>
        <v/>
      </c>
      <c r="J94">
        <f>H94*I94</f>
        <v/>
      </c>
    </row>
    <row r="95">
      <c r="A95" t="n">
        <v>77</v>
      </c>
      <c r="B95">
        <f>Inputs_S34!$C$2+A95</f>
        <v/>
      </c>
      <c r="C95">
        <f>$B$5+A95-1</f>
        <v/>
      </c>
      <c r="D95">
        <f>IF(C95&gt;=120,1,MIN(1,IF(A95&lt;=$B$6,IF($B$4="M",Inputs_S34!$C$13,Inputs_S34!$C$14),IF($B$4="M",Inputs_S34!$C$15,Inputs_S34!$C$16))*INDEX(ILT!$B$2:$C$122,MIN(C95,120)+1,IF($B$4="M",1,2))*(1-Inputs_S34!$C$17)^MAX(B95-Inputs_S34!$C$18,0)))</f>
        <v/>
      </c>
      <c r="E95">
        <f>E94*(1-D95)</f>
        <v/>
      </c>
      <c r="F95">
        <f>(E94+E95)/2</f>
        <v/>
      </c>
      <c r="G95">
        <f>IF(A95&lt;$B$6+1,0,IF(A95=$B$6+1,1,G94*(1+IF(B95=Inputs_S34!$C$7,Inputs_S34!$C$8,Inputs_S34!$C$6))))</f>
        <v/>
      </c>
      <c r="H95">
        <f>$B$10*G95*F95</f>
        <v/>
      </c>
      <c r="I95">
        <f>(1+Inputs_S34!$C$26)^-MIN(A95-0.5,$B$6)*(1+Inputs_S34!$C$27)^-MAX(A95-0.5-$B$6,0)</f>
        <v/>
      </c>
      <c r="J95">
        <f>H95*I95</f>
        <v/>
      </c>
    </row>
    <row r="96">
      <c r="A96" t="n">
        <v>78</v>
      </c>
      <c r="B96">
        <f>Inputs_S34!$C$2+A96</f>
        <v/>
      </c>
      <c r="C96">
        <f>$B$5+A96-1</f>
        <v/>
      </c>
      <c r="D96">
        <f>IF(C96&gt;=120,1,MIN(1,IF(A96&lt;=$B$6,IF($B$4="M",Inputs_S34!$C$13,Inputs_S34!$C$14),IF($B$4="M",Inputs_S34!$C$15,Inputs_S34!$C$16))*INDEX(ILT!$B$2:$C$122,MIN(C96,120)+1,IF($B$4="M",1,2))*(1-Inputs_S34!$C$17)^MAX(B96-Inputs_S34!$C$18,0)))</f>
        <v/>
      </c>
      <c r="E96">
        <f>E95*(1-D96)</f>
        <v/>
      </c>
      <c r="F96">
        <f>(E95+E96)/2</f>
        <v/>
      </c>
      <c r="G96">
        <f>IF(A96&lt;$B$6+1,0,IF(A96=$B$6+1,1,G95*(1+IF(B96=Inputs_S34!$C$7,Inputs_S34!$C$8,Inputs_S34!$C$6))))</f>
        <v/>
      </c>
      <c r="H96">
        <f>$B$10*G96*F96</f>
        <v/>
      </c>
      <c r="I96">
        <f>(1+Inputs_S34!$C$26)^-MIN(A96-0.5,$B$6)*(1+Inputs_S34!$C$27)^-MAX(A96-0.5-$B$6,0)</f>
        <v/>
      </c>
      <c r="J96">
        <f>H96*I96</f>
        <v/>
      </c>
    </row>
    <row r="97">
      <c r="A97" t="n">
        <v>79</v>
      </c>
      <c r="B97">
        <f>Inputs_S34!$C$2+A97</f>
        <v/>
      </c>
      <c r="C97">
        <f>$B$5+A97-1</f>
        <v/>
      </c>
      <c r="D97">
        <f>IF(C97&gt;=120,1,MIN(1,IF(A97&lt;=$B$6,IF($B$4="M",Inputs_S34!$C$13,Inputs_S34!$C$14),IF($B$4="M",Inputs_S34!$C$15,Inputs_S34!$C$16))*INDEX(ILT!$B$2:$C$122,MIN(C97,120)+1,IF($B$4="M",1,2))*(1-Inputs_S34!$C$17)^MAX(B97-Inputs_S34!$C$18,0)))</f>
        <v/>
      </c>
      <c r="E97">
        <f>E96*(1-D97)</f>
        <v/>
      </c>
      <c r="F97">
        <f>(E96+E97)/2</f>
        <v/>
      </c>
      <c r="G97">
        <f>IF(A97&lt;$B$6+1,0,IF(A97=$B$6+1,1,G96*(1+IF(B97=Inputs_S34!$C$7,Inputs_S34!$C$8,Inputs_S34!$C$6))))</f>
        <v/>
      </c>
      <c r="H97">
        <f>$B$10*G97*F97</f>
        <v/>
      </c>
      <c r="I97">
        <f>(1+Inputs_S34!$C$26)^-MIN(A97-0.5,$B$6)*(1+Inputs_S34!$C$27)^-MAX(A97-0.5-$B$6,0)</f>
        <v/>
      </c>
      <c r="J97">
        <f>H97*I97</f>
        <v/>
      </c>
    </row>
    <row r="98">
      <c r="A98" t="n">
        <v>80</v>
      </c>
      <c r="B98">
        <f>Inputs_S34!$C$2+A98</f>
        <v/>
      </c>
      <c r="C98">
        <f>$B$5+A98-1</f>
        <v/>
      </c>
      <c r="D98">
        <f>IF(C98&gt;=120,1,MIN(1,IF(A98&lt;=$B$6,IF($B$4="M",Inputs_S34!$C$13,Inputs_S34!$C$14),IF($B$4="M",Inputs_S34!$C$15,Inputs_S34!$C$16))*INDEX(ILT!$B$2:$C$122,MIN(C98,120)+1,IF($B$4="M",1,2))*(1-Inputs_S34!$C$17)^MAX(B98-Inputs_S34!$C$18,0)))</f>
        <v/>
      </c>
      <c r="E98">
        <f>E97*(1-D98)</f>
        <v/>
      </c>
      <c r="F98">
        <f>(E97+E98)/2</f>
        <v/>
      </c>
      <c r="G98">
        <f>IF(A98&lt;$B$6+1,0,IF(A98=$B$6+1,1,G97*(1+IF(B98=Inputs_S34!$C$7,Inputs_S34!$C$8,Inputs_S34!$C$6))))</f>
        <v/>
      </c>
      <c r="H98">
        <f>$B$10*G98*F98</f>
        <v/>
      </c>
      <c r="I98">
        <f>(1+Inputs_S34!$C$26)^-MIN(A98-0.5,$B$6)*(1+Inputs_S34!$C$27)^-MAX(A98-0.5-$B$6,0)</f>
        <v/>
      </c>
      <c r="J98">
        <f>H98*I98</f>
        <v/>
      </c>
    </row>
    <row r="99">
      <c r="A99" t="n">
        <v>81</v>
      </c>
      <c r="B99">
        <f>Inputs_S34!$C$2+A99</f>
        <v/>
      </c>
      <c r="C99">
        <f>$B$5+A99-1</f>
        <v/>
      </c>
      <c r="D99">
        <f>IF(C99&gt;=120,1,MIN(1,IF(A99&lt;=$B$6,IF($B$4="M",Inputs_S34!$C$13,Inputs_S34!$C$14),IF($B$4="M",Inputs_S34!$C$15,Inputs_S34!$C$16))*INDEX(ILT!$B$2:$C$122,MIN(C99,120)+1,IF($B$4="M",1,2))*(1-Inputs_S34!$C$17)^MAX(B99-Inputs_S34!$C$18,0)))</f>
        <v/>
      </c>
      <c r="E99">
        <f>E98*(1-D99)</f>
        <v/>
      </c>
      <c r="F99">
        <f>(E98+E99)/2</f>
        <v/>
      </c>
      <c r="G99">
        <f>IF(A99&lt;$B$6+1,0,IF(A99=$B$6+1,1,G98*(1+IF(B99=Inputs_S34!$C$7,Inputs_S34!$C$8,Inputs_S34!$C$6))))</f>
        <v/>
      </c>
      <c r="H99">
        <f>$B$10*G99*F99</f>
        <v/>
      </c>
      <c r="I99">
        <f>(1+Inputs_S34!$C$26)^-MIN(A99-0.5,$B$6)*(1+Inputs_S34!$C$27)^-MAX(A99-0.5-$B$6,0)</f>
        <v/>
      </c>
      <c r="J99">
        <f>H99*I99</f>
        <v/>
      </c>
    </row>
    <row r="100">
      <c r="A100" t="n">
        <v>82</v>
      </c>
      <c r="B100">
        <f>Inputs_S34!$C$2+A100</f>
        <v/>
      </c>
      <c r="C100">
        <f>$B$5+A100-1</f>
        <v/>
      </c>
      <c r="D100">
        <f>IF(C100&gt;=120,1,MIN(1,IF(A100&lt;=$B$6,IF($B$4="M",Inputs_S34!$C$13,Inputs_S34!$C$14),IF($B$4="M",Inputs_S34!$C$15,Inputs_S34!$C$16))*INDEX(ILT!$B$2:$C$122,MIN(C100,120)+1,IF($B$4="M",1,2))*(1-Inputs_S34!$C$17)^MAX(B100-Inputs_S34!$C$18,0)))</f>
        <v/>
      </c>
      <c r="E100">
        <f>E99*(1-D100)</f>
        <v/>
      </c>
      <c r="F100">
        <f>(E99+E100)/2</f>
        <v/>
      </c>
      <c r="G100">
        <f>IF(A100&lt;$B$6+1,0,IF(A100=$B$6+1,1,G99*(1+IF(B100=Inputs_S34!$C$7,Inputs_S34!$C$8,Inputs_S34!$C$6))))</f>
        <v/>
      </c>
      <c r="H100">
        <f>$B$10*G100*F100</f>
        <v/>
      </c>
      <c r="I100">
        <f>(1+Inputs_S34!$C$26)^-MIN(A100-0.5,$B$6)*(1+Inputs_S34!$C$27)^-MAX(A100-0.5-$B$6,0)</f>
        <v/>
      </c>
      <c r="J100">
        <f>H100*I100</f>
        <v/>
      </c>
    </row>
    <row r="101">
      <c r="A101" t="n">
        <v>83</v>
      </c>
      <c r="B101">
        <f>Inputs_S34!$C$2+A101</f>
        <v/>
      </c>
      <c r="C101">
        <f>$B$5+A101-1</f>
        <v/>
      </c>
      <c r="D101">
        <f>IF(C101&gt;=120,1,MIN(1,IF(A101&lt;=$B$6,IF($B$4="M",Inputs_S34!$C$13,Inputs_S34!$C$14),IF($B$4="M",Inputs_S34!$C$15,Inputs_S34!$C$16))*INDEX(ILT!$B$2:$C$122,MIN(C101,120)+1,IF($B$4="M",1,2))*(1-Inputs_S34!$C$17)^MAX(B101-Inputs_S34!$C$18,0)))</f>
        <v/>
      </c>
      <c r="E101">
        <f>E100*(1-D101)</f>
        <v/>
      </c>
      <c r="F101">
        <f>(E100+E101)/2</f>
        <v/>
      </c>
      <c r="G101">
        <f>IF(A101&lt;$B$6+1,0,IF(A101=$B$6+1,1,G100*(1+IF(B101=Inputs_S34!$C$7,Inputs_S34!$C$8,Inputs_S34!$C$6))))</f>
        <v/>
      </c>
      <c r="H101">
        <f>$B$10*G101*F101</f>
        <v/>
      </c>
      <c r="I101">
        <f>(1+Inputs_S34!$C$26)^-MIN(A101-0.5,$B$6)*(1+Inputs_S34!$C$27)^-MAX(A101-0.5-$B$6,0)</f>
        <v/>
      </c>
      <c r="J101">
        <f>H101*I101</f>
        <v/>
      </c>
    </row>
    <row r="102">
      <c r="A102" t="n">
        <v>84</v>
      </c>
      <c r="B102">
        <f>Inputs_S34!$C$2+A102</f>
        <v/>
      </c>
      <c r="C102">
        <f>$B$5+A102-1</f>
        <v/>
      </c>
      <c r="D102">
        <f>IF(C102&gt;=120,1,MIN(1,IF(A102&lt;=$B$6,IF($B$4="M",Inputs_S34!$C$13,Inputs_S34!$C$14),IF($B$4="M",Inputs_S34!$C$15,Inputs_S34!$C$16))*INDEX(ILT!$B$2:$C$122,MIN(C102,120)+1,IF($B$4="M",1,2))*(1-Inputs_S34!$C$17)^MAX(B102-Inputs_S34!$C$18,0)))</f>
        <v/>
      </c>
      <c r="E102">
        <f>E101*(1-D102)</f>
        <v/>
      </c>
      <c r="F102">
        <f>(E101+E102)/2</f>
        <v/>
      </c>
      <c r="G102">
        <f>IF(A102&lt;$B$6+1,0,IF(A102=$B$6+1,1,G101*(1+IF(B102=Inputs_S34!$C$7,Inputs_S34!$C$8,Inputs_S34!$C$6))))</f>
        <v/>
      </c>
      <c r="H102">
        <f>$B$10*G102*F102</f>
        <v/>
      </c>
      <c r="I102">
        <f>(1+Inputs_S34!$C$26)^-MIN(A102-0.5,$B$6)*(1+Inputs_S34!$C$27)^-MAX(A102-0.5-$B$6,0)</f>
        <v/>
      </c>
      <c r="J102">
        <f>H102*I102</f>
        <v/>
      </c>
    </row>
    <row r="103">
      <c r="A103" t="n">
        <v>85</v>
      </c>
      <c r="B103">
        <f>Inputs_S34!$C$2+A103</f>
        <v/>
      </c>
      <c r="C103">
        <f>$B$5+A103-1</f>
        <v/>
      </c>
      <c r="D103">
        <f>IF(C103&gt;=120,1,MIN(1,IF(A103&lt;=$B$6,IF($B$4="M",Inputs_S34!$C$13,Inputs_S34!$C$14),IF($B$4="M",Inputs_S34!$C$15,Inputs_S34!$C$16))*INDEX(ILT!$B$2:$C$122,MIN(C103,120)+1,IF($B$4="M",1,2))*(1-Inputs_S34!$C$17)^MAX(B103-Inputs_S34!$C$18,0)))</f>
        <v/>
      </c>
      <c r="E103">
        <f>E102*(1-D103)</f>
        <v/>
      </c>
      <c r="F103">
        <f>(E102+E103)/2</f>
        <v/>
      </c>
      <c r="G103">
        <f>IF(A103&lt;$B$6+1,0,IF(A103=$B$6+1,1,G102*(1+IF(B103=Inputs_S34!$C$7,Inputs_S34!$C$8,Inputs_S34!$C$6))))</f>
        <v/>
      </c>
      <c r="H103">
        <f>$B$10*G103*F103</f>
        <v/>
      </c>
      <c r="I103">
        <f>(1+Inputs_S34!$C$26)^-MIN(A103-0.5,$B$6)*(1+Inputs_S34!$C$27)^-MAX(A103-0.5-$B$6,0)</f>
        <v/>
      </c>
      <c r="J103">
        <f>H103*I103</f>
        <v/>
      </c>
    </row>
    <row r="104">
      <c r="A104" t="n">
        <v>86</v>
      </c>
      <c r="B104">
        <f>Inputs_S34!$C$2+A104</f>
        <v/>
      </c>
      <c r="C104">
        <f>$B$5+A104-1</f>
        <v/>
      </c>
      <c r="D104">
        <f>IF(C104&gt;=120,1,MIN(1,IF(A104&lt;=$B$6,IF($B$4="M",Inputs_S34!$C$13,Inputs_S34!$C$14),IF($B$4="M",Inputs_S34!$C$15,Inputs_S34!$C$16))*INDEX(ILT!$B$2:$C$122,MIN(C104,120)+1,IF($B$4="M",1,2))*(1-Inputs_S34!$C$17)^MAX(B104-Inputs_S34!$C$18,0)))</f>
        <v/>
      </c>
      <c r="E104">
        <f>E103*(1-D104)</f>
        <v/>
      </c>
      <c r="F104">
        <f>(E103+E104)/2</f>
        <v/>
      </c>
      <c r="G104">
        <f>IF(A104&lt;$B$6+1,0,IF(A104=$B$6+1,1,G103*(1+IF(B104=Inputs_S34!$C$7,Inputs_S34!$C$8,Inputs_S34!$C$6))))</f>
        <v/>
      </c>
      <c r="H104">
        <f>$B$10*G104*F104</f>
        <v/>
      </c>
      <c r="I104">
        <f>(1+Inputs_S34!$C$26)^-MIN(A104-0.5,$B$6)*(1+Inputs_S34!$C$27)^-MAX(A104-0.5-$B$6,0)</f>
        <v/>
      </c>
      <c r="J104">
        <f>H104*I104</f>
        <v/>
      </c>
    </row>
    <row r="105">
      <c r="A105" t="n">
        <v>87</v>
      </c>
      <c r="B105">
        <f>Inputs_S34!$C$2+A105</f>
        <v/>
      </c>
      <c r="C105">
        <f>$B$5+A105-1</f>
        <v/>
      </c>
      <c r="D105">
        <f>IF(C105&gt;=120,1,MIN(1,IF(A105&lt;=$B$6,IF($B$4="M",Inputs_S34!$C$13,Inputs_S34!$C$14),IF($B$4="M",Inputs_S34!$C$15,Inputs_S34!$C$16))*INDEX(ILT!$B$2:$C$122,MIN(C105,120)+1,IF($B$4="M",1,2))*(1-Inputs_S34!$C$17)^MAX(B105-Inputs_S34!$C$18,0)))</f>
        <v/>
      </c>
      <c r="E105">
        <f>E104*(1-D105)</f>
        <v/>
      </c>
      <c r="F105">
        <f>(E104+E105)/2</f>
        <v/>
      </c>
      <c r="G105">
        <f>IF(A105&lt;$B$6+1,0,IF(A105=$B$6+1,1,G104*(1+IF(B105=Inputs_S34!$C$7,Inputs_S34!$C$8,Inputs_S34!$C$6))))</f>
        <v/>
      </c>
      <c r="H105">
        <f>$B$10*G105*F105</f>
        <v/>
      </c>
      <c r="I105">
        <f>(1+Inputs_S34!$C$26)^-MIN(A105-0.5,$B$6)*(1+Inputs_S34!$C$27)^-MAX(A105-0.5-$B$6,0)</f>
        <v/>
      </c>
      <c r="J105">
        <f>H105*I105</f>
        <v/>
      </c>
    </row>
    <row r="106">
      <c r="A106" t="n">
        <v>88</v>
      </c>
      <c r="B106">
        <f>Inputs_S34!$C$2+A106</f>
        <v/>
      </c>
      <c r="C106">
        <f>$B$5+A106-1</f>
        <v/>
      </c>
      <c r="D106">
        <f>IF(C106&gt;=120,1,MIN(1,IF(A106&lt;=$B$6,IF($B$4="M",Inputs_S34!$C$13,Inputs_S34!$C$14),IF($B$4="M",Inputs_S34!$C$15,Inputs_S34!$C$16))*INDEX(ILT!$B$2:$C$122,MIN(C106,120)+1,IF($B$4="M",1,2))*(1-Inputs_S34!$C$17)^MAX(B106-Inputs_S34!$C$18,0)))</f>
        <v/>
      </c>
      <c r="E106">
        <f>E105*(1-D106)</f>
        <v/>
      </c>
      <c r="F106">
        <f>(E105+E106)/2</f>
        <v/>
      </c>
      <c r="G106">
        <f>IF(A106&lt;$B$6+1,0,IF(A106=$B$6+1,1,G105*(1+IF(B106=Inputs_S34!$C$7,Inputs_S34!$C$8,Inputs_S34!$C$6))))</f>
        <v/>
      </c>
      <c r="H106">
        <f>$B$10*G106*F106</f>
        <v/>
      </c>
      <c r="I106">
        <f>(1+Inputs_S34!$C$26)^-MIN(A106-0.5,$B$6)*(1+Inputs_S34!$C$27)^-MAX(A106-0.5-$B$6,0)</f>
        <v/>
      </c>
      <c r="J106">
        <f>H106*I106</f>
        <v/>
      </c>
    </row>
    <row r="107">
      <c r="A107" t="n">
        <v>89</v>
      </c>
      <c r="B107">
        <f>Inputs_S34!$C$2+A107</f>
        <v/>
      </c>
      <c r="C107">
        <f>$B$5+A107-1</f>
        <v/>
      </c>
      <c r="D107">
        <f>IF(C107&gt;=120,1,MIN(1,IF(A107&lt;=$B$6,IF($B$4="M",Inputs_S34!$C$13,Inputs_S34!$C$14),IF($B$4="M",Inputs_S34!$C$15,Inputs_S34!$C$16))*INDEX(ILT!$B$2:$C$122,MIN(C107,120)+1,IF($B$4="M",1,2))*(1-Inputs_S34!$C$17)^MAX(B107-Inputs_S34!$C$18,0)))</f>
        <v/>
      </c>
      <c r="E107">
        <f>E106*(1-D107)</f>
        <v/>
      </c>
      <c r="F107">
        <f>(E106+E107)/2</f>
        <v/>
      </c>
      <c r="G107">
        <f>IF(A107&lt;$B$6+1,0,IF(A107=$B$6+1,1,G106*(1+IF(B107=Inputs_S34!$C$7,Inputs_S34!$C$8,Inputs_S34!$C$6))))</f>
        <v/>
      </c>
      <c r="H107">
        <f>$B$10*G107*F107</f>
        <v/>
      </c>
      <c r="I107">
        <f>(1+Inputs_S34!$C$26)^-MIN(A107-0.5,$B$6)*(1+Inputs_S34!$C$27)^-MAX(A107-0.5-$B$6,0)</f>
        <v/>
      </c>
      <c r="J107">
        <f>H107*I107</f>
        <v/>
      </c>
    </row>
    <row r="108">
      <c r="A108" t="n">
        <v>90</v>
      </c>
      <c r="B108">
        <f>Inputs_S34!$C$2+A108</f>
        <v/>
      </c>
      <c r="C108">
        <f>$B$5+A108-1</f>
        <v/>
      </c>
      <c r="D108">
        <f>IF(C108&gt;=120,1,MIN(1,IF(A108&lt;=$B$6,IF($B$4="M",Inputs_S34!$C$13,Inputs_S34!$C$14),IF($B$4="M",Inputs_S34!$C$15,Inputs_S34!$C$16))*INDEX(ILT!$B$2:$C$122,MIN(C108,120)+1,IF($B$4="M",1,2))*(1-Inputs_S34!$C$17)^MAX(B108-Inputs_S34!$C$18,0)))</f>
        <v/>
      </c>
      <c r="E108">
        <f>E107*(1-D108)</f>
        <v/>
      </c>
      <c r="F108">
        <f>(E107+E108)/2</f>
        <v/>
      </c>
      <c r="G108">
        <f>IF(A108&lt;$B$6+1,0,IF(A108=$B$6+1,1,G107*(1+IF(B108=Inputs_S34!$C$7,Inputs_S34!$C$8,Inputs_S34!$C$6))))</f>
        <v/>
      </c>
      <c r="H108">
        <f>$B$10*G108*F108</f>
        <v/>
      </c>
      <c r="I108">
        <f>(1+Inputs_S34!$C$26)^-MIN(A108-0.5,$B$6)*(1+Inputs_S34!$C$27)^-MAX(A108-0.5-$B$6,0)</f>
        <v/>
      </c>
      <c r="J108">
        <f>H108*I108</f>
        <v/>
      </c>
    </row>
    <row r="109">
      <c r="A109" t="n">
        <v>91</v>
      </c>
      <c r="B109">
        <f>Inputs_S34!$C$2+A109</f>
        <v/>
      </c>
      <c r="C109">
        <f>$B$5+A109-1</f>
        <v/>
      </c>
      <c r="D109">
        <f>IF(C109&gt;=120,1,MIN(1,IF(A109&lt;=$B$6,IF($B$4="M",Inputs_S34!$C$13,Inputs_S34!$C$14),IF($B$4="M",Inputs_S34!$C$15,Inputs_S34!$C$16))*INDEX(ILT!$B$2:$C$122,MIN(C109,120)+1,IF($B$4="M",1,2))*(1-Inputs_S34!$C$17)^MAX(B109-Inputs_S34!$C$18,0)))</f>
        <v/>
      </c>
      <c r="E109">
        <f>E108*(1-D109)</f>
        <v/>
      </c>
      <c r="F109">
        <f>(E108+E109)/2</f>
        <v/>
      </c>
      <c r="G109">
        <f>IF(A109&lt;$B$6+1,0,IF(A109=$B$6+1,1,G108*(1+IF(B109=Inputs_S34!$C$7,Inputs_S34!$C$8,Inputs_S34!$C$6))))</f>
        <v/>
      </c>
      <c r="H109">
        <f>$B$10*G109*F109</f>
        <v/>
      </c>
      <c r="I109">
        <f>(1+Inputs_S34!$C$26)^-MIN(A109-0.5,$B$6)*(1+Inputs_S34!$C$27)^-MAX(A109-0.5-$B$6,0)</f>
        <v/>
      </c>
      <c r="J109">
        <f>H109*I109</f>
        <v/>
      </c>
    </row>
    <row r="110">
      <c r="A110" t="n">
        <v>92</v>
      </c>
      <c r="B110">
        <f>Inputs_S34!$C$2+A110</f>
        <v/>
      </c>
      <c r="C110">
        <f>$B$5+A110-1</f>
        <v/>
      </c>
      <c r="D110">
        <f>IF(C110&gt;=120,1,MIN(1,IF(A110&lt;=$B$6,IF($B$4="M",Inputs_S34!$C$13,Inputs_S34!$C$14),IF($B$4="M",Inputs_S34!$C$15,Inputs_S34!$C$16))*INDEX(ILT!$B$2:$C$122,MIN(C110,120)+1,IF($B$4="M",1,2))*(1-Inputs_S34!$C$17)^MAX(B110-Inputs_S34!$C$18,0)))</f>
        <v/>
      </c>
      <c r="E110">
        <f>E109*(1-D110)</f>
        <v/>
      </c>
      <c r="F110">
        <f>(E109+E110)/2</f>
        <v/>
      </c>
      <c r="G110">
        <f>IF(A110&lt;$B$6+1,0,IF(A110=$B$6+1,1,G109*(1+IF(B110=Inputs_S34!$C$7,Inputs_S34!$C$8,Inputs_S34!$C$6))))</f>
        <v/>
      </c>
      <c r="H110">
        <f>$B$10*G110*F110</f>
        <v/>
      </c>
      <c r="I110">
        <f>(1+Inputs_S34!$C$26)^-MIN(A110-0.5,$B$6)*(1+Inputs_S34!$C$27)^-MAX(A110-0.5-$B$6,0)</f>
        <v/>
      </c>
      <c r="J110">
        <f>H110*I110</f>
        <v/>
      </c>
    </row>
    <row r="111">
      <c r="A111" t="n">
        <v>93</v>
      </c>
      <c r="B111">
        <f>Inputs_S34!$C$2+A111</f>
        <v/>
      </c>
      <c r="C111">
        <f>$B$5+A111-1</f>
        <v/>
      </c>
      <c r="D111">
        <f>IF(C111&gt;=120,1,MIN(1,IF(A111&lt;=$B$6,IF($B$4="M",Inputs_S34!$C$13,Inputs_S34!$C$14),IF($B$4="M",Inputs_S34!$C$15,Inputs_S34!$C$16))*INDEX(ILT!$B$2:$C$122,MIN(C111,120)+1,IF($B$4="M",1,2))*(1-Inputs_S34!$C$17)^MAX(B111-Inputs_S34!$C$18,0)))</f>
        <v/>
      </c>
      <c r="E111">
        <f>E110*(1-D111)</f>
        <v/>
      </c>
      <c r="F111">
        <f>(E110+E111)/2</f>
        <v/>
      </c>
      <c r="G111">
        <f>IF(A111&lt;$B$6+1,0,IF(A111=$B$6+1,1,G110*(1+IF(B111=Inputs_S34!$C$7,Inputs_S34!$C$8,Inputs_S34!$C$6))))</f>
        <v/>
      </c>
      <c r="H111">
        <f>$B$10*G111*F111</f>
        <v/>
      </c>
      <c r="I111">
        <f>(1+Inputs_S34!$C$26)^-MIN(A111-0.5,$B$6)*(1+Inputs_S34!$C$27)^-MAX(A111-0.5-$B$6,0)</f>
        <v/>
      </c>
      <c r="J111">
        <f>H111*I111</f>
        <v/>
      </c>
    </row>
    <row r="112">
      <c r="A112" t="n">
        <v>94</v>
      </c>
      <c r="B112">
        <f>Inputs_S34!$C$2+A112</f>
        <v/>
      </c>
      <c r="C112">
        <f>$B$5+A112-1</f>
        <v/>
      </c>
      <c r="D112">
        <f>IF(C112&gt;=120,1,MIN(1,IF(A112&lt;=$B$6,IF($B$4="M",Inputs_S34!$C$13,Inputs_S34!$C$14),IF($B$4="M",Inputs_S34!$C$15,Inputs_S34!$C$16))*INDEX(ILT!$B$2:$C$122,MIN(C112,120)+1,IF($B$4="M",1,2))*(1-Inputs_S34!$C$17)^MAX(B112-Inputs_S34!$C$18,0)))</f>
        <v/>
      </c>
      <c r="E112">
        <f>E111*(1-D112)</f>
        <v/>
      </c>
      <c r="F112">
        <f>(E111+E112)/2</f>
        <v/>
      </c>
      <c r="G112">
        <f>IF(A112&lt;$B$6+1,0,IF(A112=$B$6+1,1,G111*(1+IF(B112=Inputs_S34!$C$7,Inputs_S34!$C$8,Inputs_S34!$C$6))))</f>
        <v/>
      </c>
      <c r="H112">
        <f>$B$10*G112*F112</f>
        <v/>
      </c>
      <c r="I112">
        <f>(1+Inputs_S34!$C$26)^-MIN(A112-0.5,$B$6)*(1+Inputs_S34!$C$27)^-MAX(A112-0.5-$B$6,0)</f>
        <v/>
      </c>
      <c r="J112">
        <f>H112*I112</f>
        <v/>
      </c>
    </row>
    <row r="113">
      <c r="A113" t="n">
        <v>95</v>
      </c>
      <c r="B113">
        <f>Inputs_S34!$C$2+A113</f>
        <v/>
      </c>
      <c r="C113">
        <f>$B$5+A113-1</f>
        <v/>
      </c>
      <c r="D113">
        <f>IF(C113&gt;=120,1,MIN(1,IF(A113&lt;=$B$6,IF($B$4="M",Inputs_S34!$C$13,Inputs_S34!$C$14),IF($B$4="M",Inputs_S34!$C$15,Inputs_S34!$C$16))*INDEX(ILT!$B$2:$C$122,MIN(C113,120)+1,IF($B$4="M",1,2))*(1-Inputs_S34!$C$17)^MAX(B113-Inputs_S34!$C$18,0)))</f>
        <v/>
      </c>
      <c r="E113">
        <f>E112*(1-D113)</f>
        <v/>
      </c>
      <c r="F113">
        <f>(E112+E113)/2</f>
        <v/>
      </c>
      <c r="G113">
        <f>IF(A113&lt;$B$6+1,0,IF(A113=$B$6+1,1,G112*(1+IF(B113=Inputs_S34!$C$7,Inputs_S34!$C$8,Inputs_S34!$C$6))))</f>
        <v/>
      </c>
      <c r="H113">
        <f>$B$10*G113*F113</f>
        <v/>
      </c>
      <c r="I113">
        <f>(1+Inputs_S34!$C$26)^-MIN(A113-0.5,$B$6)*(1+Inputs_S34!$C$27)^-MAX(A113-0.5-$B$6,0)</f>
        <v/>
      </c>
      <c r="J113">
        <f>H113*I113</f>
        <v/>
      </c>
    </row>
    <row r="114">
      <c r="A114" t="n">
        <v>96</v>
      </c>
      <c r="B114">
        <f>Inputs_S34!$C$2+A114</f>
        <v/>
      </c>
      <c r="C114">
        <f>$B$5+A114-1</f>
        <v/>
      </c>
      <c r="D114">
        <f>IF(C114&gt;=120,1,MIN(1,IF(A114&lt;=$B$6,IF($B$4="M",Inputs_S34!$C$13,Inputs_S34!$C$14),IF($B$4="M",Inputs_S34!$C$15,Inputs_S34!$C$16))*INDEX(ILT!$B$2:$C$122,MIN(C114,120)+1,IF($B$4="M",1,2))*(1-Inputs_S34!$C$17)^MAX(B114-Inputs_S34!$C$18,0)))</f>
        <v/>
      </c>
      <c r="E114">
        <f>E113*(1-D114)</f>
        <v/>
      </c>
      <c r="F114">
        <f>(E113+E114)/2</f>
        <v/>
      </c>
      <c r="G114">
        <f>IF(A114&lt;$B$6+1,0,IF(A114=$B$6+1,1,G113*(1+IF(B114=Inputs_S34!$C$7,Inputs_S34!$C$8,Inputs_S34!$C$6))))</f>
        <v/>
      </c>
      <c r="H114">
        <f>$B$10*G114*F114</f>
        <v/>
      </c>
      <c r="I114">
        <f>(1+Inputs_S34!$C$26)^-MIN(A114-0.5,$B$6)*(1+Inputs_S34!$C$27)^-MAX(A114-0.5-$B$6,0)</f>
        <v/>
      </c>
      <c r="J114">
        <f>H114*I114</f>
        <v/>
      </c>
    </row>
    <row r="115">
      <c r="A115" t="n">
        <v>97</v>
      </c>
      <c r="B115">
        <f>Inputs_S34!$C$2+A115</f>
        <v/>
      </c>
      <c r="C115">
        <f>$B$5+A115-1</f>
        <v/>
      </c>
      <c r="D115">
        <f>IF(C115&gt;=120,1,MIN(1,IF(A115&lt;=$B$6,IF($B$4="M",Inputs_S34!$C$13,Inputs_S34!$C$14),IF($B$4="M",Inputs_S34!$C$15,Inputs_S34!$C$16))*INDEX(ILT!$B$2:$C$122,MIN(C115,120)+1,IF($B$4="M",1,2))*(1-Inputs_S34!$C$17)^MAX(B115-Inputs_S34!$C$18,0)))</f>
        <v/>
      </c>
      <c r="E115">
        <f>E114*(1-D115)</f>
        <v/>
      </c>
      <c r="F115">
        <f>(E114+E115)/2</f>
        <v/>
      </c>
      <c r="G115">
        <f>IF(A115&lt;$B$6+1,0,IF(A115=$B$6+1,1,G114*(1+IF(B115=Inputs_S34!$C$7,Inputs_S34!$C$8,Inputs_S34!$C$6))))</f>
        <v/>
      </c>
      <c r="H115">
        <f>$B$10*G115*F115</f>
        <v/>
      </c>
      <c r="I115">
        <f>(1+Inputs_S34!$C$26)^-MIN(A115-0.5,$B$6)*(1+Inputs_S34!$C$27)^-MAX(A115-0.5-$B$6,0)</f>
        <v/>
      </c>
      <c r="J115">
        <f>H115*I115</f>
        <v/>
      </c>
    </row>
    <row r="116">
      <c r="A116" t="n">
        <v>98</v>
      </c>
      <c r="B116">
        <f>Inputs_S34!$C$2+A116</f>
        <v/>
      </c>
      <c r="C116">
        <f>$B$5+A116-1</f>
        <v/>
      </c>
      <c r="D116">
        <f>IF(C116&gt;=120,1,MIN(1,IF(A116&lt;=$B$6,IF($B$4="M",Inputs_S34!$C$13,Inputs_S34!$C$14),IF($B$4="M",Inputs_S34!$C$15,Inputs_S34!$C$16))*INDEX(ILT!$B$2:$C$122,MIN(C116,120)+1,IF($B$4="M",1,2))*(1-Inputs_S34!$C$17)^MAX(B116-Inputs_S34!$C$18,0)))</f>
        <v/>
      </c>
      <c r="E116">
        <f>E115*(1-D116)</f>
        <v/>
      </c>
      <c r="F116">
        <f>(E115+E116)/2</f>
        <v/>
      </c>
      <c r="G116">
        <f>IF(A116&lt;$B$6+1,0,IF(A116=$B$6+1,1,G115*(1+IF(B116=Inputs_S34!$C$7,Inputs_S34!$C$8,Inputs_S34!$C$6))))</f>
        <v/>
      </c>
      <c r="H116">
        <f>$B$10*G116*F116</f>
        <v/>
      </c>
      <c r="I116">
        <f>(1+Inputs_S34!$C$26)^-MIN(A116-0.5,$B$6)*(1+Inputs_S34!$C$27)^-MAX(A116-0.5-$B$6,0)</f>
        <v/>
      </c>
      <c r="J116">
        <f>H116*I116</f>
        <v/>
      </c>
    </row>
    <row r="117">
      <c r="A117" t="n">
        <v>99</v>
      </c>
      <c r="B117">
        <f>Inputs_S34!$C$2+A117</f>
        <v/>
      </c>
      <c r="C117">
        <f>$B$5+A117-1</f>
        <v/>
      </c>
      <c r="D117">
        <f>IF(C117&gt;=120,1,MIN(1,IF(A117&lt;=$B$6,IF($B$4="M",Inputs_S34!$C$13,Inputs_S34!$C$14),IF($B$4="M",Inputs_S34!$C$15,Inputs_S34!$C$16))*INDEX(ILT!$B$2:$C$122,MIN(C117,120)+1,IF($B$4="M",1,2))*(1-Inputs_S34!$C$17)^MAX(B117-Inputs_S34!$C$18,0)))</f>
        <v/>
      </c>
      <c r="E117">
        <f>E116*(1-D117)</f>
        <v/>
      </c>
      <c r="F117">
        <f>(E116+E117)/2</f>
        <v/>
      </c>
      <c r="G117">
        <f>IF(A117&lt;$B$6+1,0,IF(A117=$B$6+1,1,G116*(1+IF(B117=Inputs_S34!$C$7,Inputs_S34!$C$8,Inputs_S34!$C$6))))</f>
        <v/>
      </c>
      <c r="H117">
        <f>$B$10*G117*F117</f>
        <v/>
      </c>
      <c r="I117">
        <f>(1+Inputs_S34!$C$26)^-MIN(A117-0.5,$B$6)*(1+Inputs_S34!$C$27)^-MAX(A117-0.5-$B$6,0)</f>
        <v/>
      </c>
      <c r="J117">
        <f>H117*I117</f>
        <v/>
      </c>
    </row>
    <row r="118">
      <c r="A118" t="n">
        <v>100</v>
      </c>
      <c r="B118">
        <f>Inputs_S34!$C$2+A118</f>
        <v/>
      </c>
      <c r="C118">
        <f>$B$5+A118-1</f>
        <v/>
      </c>
      <c r="D118">
        <f>IF(C118&gt;=120,1,MIN(1,IF(A118&lt;=$B$6,IF($B$4="M",Inputs_S34!$C$13,Inputs_S34!$C$14),IF($B$4="M",Inputs_S34!$C$15,Inputs_S34!$C$16))*INDEX(ILT!$B$2:$C$122,MIN(C118,120)+1,IF($B$4="M",1,2))*(1-Inputs_S34!$C$17)^MAX(B118-Inputs_S34!$C$18,0)))</f>
        <v/>
      </c>
      <c r="E118">
        <f>E117*(1-D118)</f>
        <v/>
      </c>
      <c r="F118">
        <f>(E117+E118)/2</f>
        <v/>
      </c>
      <c r="G118">
        <f>IF(A118&lt;$B$6+1,0,IF(A118=$B$6+1,1,G117*(1+IF(B118=Inputs_S34!$C$7,Inputs_S34!$C$8,Inputs_S34!$C$6))))</f>
        <v/>
      </c>
      <c r="H118">
        <f>$B$10*G118*F118</f>
        <v/>
      </c>
      <c r="I118">
        <f>(1+Inputs_S34!$C$26)^-MIN(A118-0.5,$B$6)*(1+Inputs_S34!$C$27)^-MAX(A118-0.5-$B$6,0)</f>
        <v/>
      </c>
      <c r="J118">
        <f>H118*I118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2026-09-27T17:04:42Z</dcterms:created>
  <dcterms:modified xsi:type="dcterms:W3CDTF">2026-09-27T17:04:42Z</dcterms:modified>
</cp:coreProperties>
</file>